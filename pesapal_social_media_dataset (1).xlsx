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Summary Dashboard" sheetId="2" r:id="rId5"/>
  </sheets>
  <definedNames/>
  <calcPr/>
  <extLst>
    <ext uri="GoogleSheetsCustomDataVersion2">
      <go:sheetsCustomData xmlns:go="http://customooxmlschemas.google.com/" r:id="rId6" roundtripDataChecksum="HO9aqRx17xck0hbhHAWRQCpuloLHwQdt3Q8miBcakKM="/>
    </ext>
  </extLst>
</workbook>
</file>

<file path=xl/sharedStrings.xml><?xml version="1.0" encoding="utf-8"?>
<sst xmlns="http://schemas.openxmlformats.org/spreadsheetml/2006/main" count="1049" uniqueCount="237">
  <si>
    <t>BRAND</t>
  </si>
  <si>
    <t>PesaPal Kenya</t>
  </si>
  <si>
    <t>PERIOD</t>
  </si>
  <si>
    <t>1 Jan 2025 – 31 Mar 2025 (90 days)</t>
  </si>
  <si>
    <t>ANALYST</t>
  </si>
  <si>
    <t xml:space="preserve">TECKLER NDIANY </t>
  </si>
  <si>
    <t>Date</t>
  </si>
  <si>
    <t>Week</t>
  </si>
  <si>
    <t>Platform</t>
  </si>
  <si>
    <t>Content Type</t>
  </si>
  <si>
    <t>Post Topic</t>
  </si>
  <si>
    <t>Reach</t>
  </si>
  <si>
    <t>Impressions</t>
  </si>
  <si>
    <t>Likes</t>
  </si>
  <si>
    <t>Comments</t>
  </si>
  <si>
    <t>Shares</t>
  </si>
  <si>
    <t>Saves</t>
  </si>
  <si>
    <t>Profile Visits</t>
  </si>
  <si>
    <t>Link Clicks</t>
  </si>
  <si>
    <t>New Followers</t>
  </si>
  <si>
    <t>Engagement Rate (%)</t>
  </si>
  <si>
    <t>Notes</t>
  </si>
  <si>
    <t>01-Jan-2025</t>
  </si>
  <si>
    <t>W01</t>
  </si>
  <si>
    <t>Instagram</t>
  </si>
  <si>
    <t>Promotional</t>
  </si>
  <si>
    <t>Refer a friend get KSh 100</t>
  </si>
  <si>
    <t>Facebook</t>
  </si>
  <si>
    <t>Community / Cultural</t>
  </si>
  <si>
    <t>End of financial year, our journey</t>
  </si>
  <si>
    <t>02-Jan-2025</t>
  </si>
  <si>
    <t>Educational</t>
  </si>
  <si>
    <t>5 ways to save with mobile money</t>
  </si>
  <si>
    <t>TikTok</t>
  </si>
  <si>
    <t>Product Feature</t>
  </si>
  <si>
    <t>International transfers, step by step</t>
  </si>
  <si>
    <t>03-Jan-2025</t>
  </si>
  <si>
    <t>Behind the Scenes</t>
  </si>
  <si>
    <t>PesaPal turns 5, the early days</t>
  </si>
  <si>
    <t>LinkedIn</t>
  </si>
  <si>
    <t>#NjaaaKwetuChallenge, save together</t>
  </si>
  <si>
    <t>04-Jan-2025</t>
  </si>
  <si>
    <t>Digital wallet security tips</t>
  </si>
  <si>
    <t>Understanding transaction fees</t>
  </si>
  <si>
    <t>Possible viral reach spike</t>
  </si>
  <si>
    <t>05-Jan-2025</t>
  </si>
  <si>
    <t>Limited time sign-up bonus</t>
  </si>
  <si>
    <t>Low engagement, promo fatigue</t>
  </si>
  <si>
    <t>New year new wallet offer</t>
  </si>
  <si>
    <t>06-Jan-2025</t>
  </si>
  <si>
    <t>The team behind your midnight transactions</t>
  </si>
  <si>
    <t>07-Jan-2025</t>
  </si>
  <si>
    <t>How we built the new savings feature</t>
  </si>
  <si>
    <t>08-Jan-2025</t>
  </si>
  <si>
    <t>W02</t>
  </si>
  <si>
    <t>Fagiafest offer, zero transfer fees</t>
  </si>
  <si>
    <t>09-Jan-2025</t>
  </si>
  <si>
    <t>Split payments feature launch</t>
  </si>
  <si>
    <t>10-Jan-2025</t>
  </si>
  <si>
    <t>11-Jan-2025</t>
  </si>
  <si>
    <t>How M-PESA limits work</t>
  </si>
  <si>
    <t>12-Jan-2025</t>
  </si>
  <si>
    <t>Meet our customer support team in Nairobi</t>
  </si>
  <si>
    <t>Sending money abroad safely</t>
  </si>
  <si>
    <t>13-Jan-2025</t>
  </si>
  <si>
    <t>Business accounts, what's different</t>
  </si>
  <si>
    <t>UGC / Testimonial</t>
  </si>
  <si>
    <t>University student budgeting with PesaPal</t>
  </si>
  <si>
    <t>High performer, amplify this</t>
  </si>
  <si>
    <t>14-Jan-2025</t>
  </si>
  <si>
    <t>15-Jan-2025</t>
  </si>
  <si>
    <t>W03</t>
  </si>
  <si>
    <t>Mama mboga grows her business with PesaPal</t>
  </si>
  <si>
    <t>16-Jan-2025</t>
  </si>
  <si>
    <t>17-Jan-2025</t>
  </si>
  <si>
    <t>What is a credit score?</t>
  </si>
  <si>
    <t>18-Jan-2025</t>
  </si>
  <si>
    <t>Valentine's cashback campaign</t>
  </si>
  <si>
    <t>19-Jan-2025</t>
  </si>
  <si>
    <t>PesaPal x Nairobi marathon partnership</t>
  </si>
  <si>
    <t>20-Jan-2025</t>
  </si>
  <si>
    <t>21-Jan-2025</t>
  </si>
  <si>
    <t>Instant loans, eligibility explained</t>
  </si>
  <si>
    <t>22-Jan-2025</t>
  </si>
  <si>
    <t>W04</t>
  </si>
  <si>
    <t>'I sent money to my village in 3 taps'</t>
  </si>
  <si>
    <t>23-Jan-2025</t>
  </si>
  <si>
    <t>24-Jan-2025</t>
  </si>
  <si>
    <t>Our Westlands office, a quick tour</t>
  </si>
  <si>
    <t>25-Jan-2025</t>
  </si>
  <si>
    <t>26-Jan-2025</t>
  </si>
  <si>
    <t>Easter weekend, shop local with PesaPal</t>
  </si>
  <si>
    <t>27-Jan-2025</t>
  </si>
  <si>
    <t>28-Jan-2025</t>
  </si>
  <si>
    <t>Savings goal tracker, how to set one</t>
  </si>
  <si>
    <t>29-Jan-2025</t>
  </si>
  <si>
    <t>W05</t>
  </si>
  <si>
    <t>30-Jan-2025</t>
  </si>
  <si>
    <t>31-Jan-2025</t>
  </si>
  <si>
    <t>01-Feb-2025</t>
  </si>
  <si>
    <t>Small business owner, rent day sorted</t>
  </si>
  <si>
    <t>02-Feb-2025</t>
  </si>
  <si>
    <t>03-Feb-2025</t>
  </si>
  <si>
    <t>04-Feb-2025</t>
  </si>
  <si>
    <t>05-Feb-2025</t>
  </si>
  <si>
    <t>W06</t>
  </si>
  <si>
    <t>06-Feb-2025</t>
  </si>
  <si>
    <t>Celebrating Madaraka Day with free transfers</t>
  </si>
  <si>
    <t>07-Feb-2025</t>
  </si>
  <si>
    <t>08-Feb-2025</t>
  </si>
  <si>
    <t>09-Feb-2025</t>
  </si>
  <si>
    <t>10-Feb-2025</t>
  </si>
  <si>
    <t>Supporting Kenyan SMEs this month</t>
  </si>
  <si>
    <t>11-Feb-2025</t>
  </si>
  <si>
    <t>12-Feb-2025</t>
  </si>
  <si>
    <t>W07</t>
  </si>
  <si>
    <t>End of month bonus interest</t>
  </si>
  <si>
    <t>13-Feb-2025</t>
  </si>
  <si>
    <t>14-Feb-2025</t>
  </si>
  <si>
    <t>15-Feb-2025</t>
  </si>
  <si>
    <t>16-Feb-2025</t>
  </si>
  <si>
    <t>17-Feb-2025</t>
  </si>
  <si>
    <t>18-Feb-2025</t>
  </si>
  <si>
    <t>19-Feb-2025</t>
  </si>
  <si>
    <t>W08</t>
  </si>
  <si>
    <t>20-Feb-2025</t>
  </si>
  <si>
    <t>21-Feb-2025</t>
  </si>
  <si>
    <t>22-Feb-2025</t>
  </si>
  <si>
    <t>23-Feb-2025</t>
  </si>
  <si>
    <t>24-Feb-2025</t>
  </si>
  <si>
    <t>Trader testimonial, market day payments</t>
  </si>
  <si>
    <t>25-Feb-2025</t>
  </si>
  <si>
    <t>26-Feb-2025</t>
  </si>
  <si>
    <t>W09</t>
  </si>
  <si>
    <t>New PesaPal dashboard walkthrough</t>
  </si>
  <si>
    <t>27-Feb-2025</t>
  </si>
  <si>
    <t>Customer story: paid school fees in seconds</t>
  </si>
  <si>
    <t>28-Feb-2025</t>
  </si>
  <si>
    <t>01-Mar-2025</t>
  </si>
  <si>
    <t>02-Mar-2025</t>
  </si>
  <si>
    <t>03-Mar-2025</t>
  </si>
  <si>
    <t>04-Mar-2025</t>
  </si>
  <si>
    <t>05-Mar-2025</t>
  </si>
  <si>
    <t>W10</t>
  </si>
  <si>
    <t>06-Mar-2025</t>
  </si>
  <si>
    <t>07-Mar-2025</t>
  </si>
  <si>
    <t>08-Mar-2025</t>
  </si>
  <si>
    <t>09-Mar-2025</t>
  </si>
  <si>
    <t>Small business owner,  rent day sorted</t>
  </si>
  <si>
    <t>10-Mar-2025</t>
  </si>
  <si>
    <t>A day in the PesaPal engineering team</t>
  </si>
  <si>
    <t>11-Mar-2025</t>
  </si>
  <si>
    <t>12-Mar-2025</t>
  </si>
  <si>
    <t>W11</t>
  </si>
  <si>
    <t>13-Mar-2025</t>
  </si>
  <si>
    <t>14-Mar-2025</t>
  </si>
  <si>
    <t>Low engagement ,promo fatigue</t>
  </si>
  <si>
    <t>15-Mar-2025</t>
  </si>
  <si>
    <t>Low engagement,promo fatigue</t>
  </si>
  <si>
    <t>16-Mar-2025</t>
  </si>
  <si>
    <t>High performer,amplify this</t>
  </si>
  <si>
    <t>Fagiafest offer ,zero transfer fees</t>
  </si>
  <si>
    <t>17-Mar-2025</t>
  </si>
  <si>
    <t>18-Mar-2025</t>
  </si>
  <si>
    <t>19-Mar-2025</t>
  </si>
  <si>
    <t>W12</t>
  </si>
  <si>
    <t>20-Mar-2025</t>
  </si>
  <si>
    <t>21-Mar-2025</t>
  </si>
  <si>
    <t>22-Mar-2025</t>
  </si>
  <si>
    <t>23-Mar-2025</t>
  </si>
  <si>
    <t>24-Mar-2025</t>
  </si>
  <si>
    <t>25-Mar-2025</t>
  </si>
  <si>
    <t>26-Mar-2025</t>
  </si>
  <si>
    <t>W13</t>
  </si>
  <si>
    <t>27-Mar-2025</t>
  </si>
  <si>
    <t>28-Mar-2025</t>
  </si>
  <si>
    <t>29-Mar-2025</t>
  </si>
  <si>
    <t>30-Mar-2025</t>
  </si>
  <si>
    <t>31-Mar-2025</t>
  </si>
  <si>
    <t>PesaPal Kenya - 90-Day Social Media Performance Dashboard</t>
  </si>
  <si>
    <t>Period: 1 January 2025 – 31 March 2025  |  Platforms: Instagram, TikTok, Facebook, LinkedIn  |  Brand: PesaPal Kenya</t>
  </si>
  <si>
    <t>SECTION 1 - OVERALL CAMPAIGN KPIs (All Platforms Combined)</t>
  </si>
  <si>
    <t>Metric</t>
  </si>
  <si>
    <t>Value</t>
  </si>
  <si>
    <t>Total Posts Published</t>
  </si>
  <si>
    <t>Total Reach</t>
  </si>
  <si>
    <t>Total Impressions</t>
  </si>
  <si>
    <t>Total Likes</t>
  </si>
  <si>
    <t>Total Comments</t>
  </si>
  <si>
    <t>Total Shares</t>
  </si>
  <si>
    <t>Total Saves</t>
  </si>
  <si>
    <t>Total Link Clicks</t>
  </si>
  <si>
    <t>Total New Followers</t>
  </si>
  <si>
    <t>Avg Engagement Rate</t>
  </si>
  <si>
    <t>SECTION 2 - PLATFORM BREAKDOWN</t>
  </si>
  <si>
    <t>Posts</t>
  </si>
  <si>
    <t>Avg Reach</t>
  </si>
  <si>
    <t>Avg Eng Rate (%)</t>
  </si>
  <si>
    <t>Total Followers</t>
  </si>
  <si>
    <t>Best Content Type</t>
  </si>
  <si>
    <t>SECTION 3 - CONTENT TYPE PERFORMANCE</t>
  </si>
  <si>
    <t>Avg Followers Gained</t>
  </si>
  <si>
    <t>Assessment</t>
  </si>
  <si>
    <t>Consistent performer, high save rate</t>
  </si>
  <si>
    <t>Lowest engagement, reduce frequency</t>
  </si>
  <si>
    <t>Top performer, scale this format</t>
  </si>
  <si>
    <t>Mid-tier, improve with demos</t>
  </si>
  <si>
    <t>Strong reach, culturally resonant</t>
  </si>
  <si>
    <t>Underused but high engagement when posted</t>
  </si>
  <si>
    <t>SECTION 4 - WEEKLY TREND (Total Reach by Week)</t>
  </si>
  <si>
    <t>Total Posts</t>
  </si>
  <si>
    <t>Trend Note</t>
  </si>
  <si>
    <t>Baseline week, low posting volume</t>
  </si>
  <si>
    <t>UGC campaign launched, reach spike</t>
  </si>
  <si>
    <t>Consistent output</t>
  </si>
  <si>
    <t>Promotional push, lower engagement</t>
  </si>
  <si>
    <t>Valentine's campaign, community surge</t>
  </si>
  <si>
    <t>TikTok viral post, outlier week</t>
  </si>
  <si>
    <t>Stable, behind the scenes series</t>
  </si>
  <si>
    <t>Educational series high saves</t>
  </si>
  <si>
    <t>End of quarter, all-platform push</t>
  </si>
  <si>
    <t>Final week, follower growth strong</t>
  </si>
  <si>
    <t>Easter, cultural content peaks</t>
  </si>
  <si>
    <t>Quarter close, summary push</t>
  </si>
  <si>
    <t>Q1 wrap, engagement consolidates</t>
  </si>
  <si>
    <t>KEY FINDINGS &amp; RECOMMENDATIONS</t>
  </si>
  <si>
    <t>Finding 1</t>
  </si>
  <si>
    <t>UGC / Testimonial content drives highest engagement across ALL platforms, prioritise this format (target: 25% of monthly content mix).</t>
  </si>
  <si>
    <t>Finding 2</t>
  </si>
  <si>
    <t>Promotional posts consistently underperform (avg eng rate below 1%), reduce from current frequency, use only for major campaign moments.</t>
  </si>
  <si>
    <t>Finding 3</t>
  </si>
  <si>
    <t>TikTok delivers highest raw reach and follower growth, increase posting frequency from current level to 5x per week.</t>
  </si>
  <si>
    <t>Finding 4</t>
  </si>
  <si>
    <t>Community &amp; Cultural content performs 2× better on reach than product posts, leverage Kenyan cultural moments (Madaraka, Easter, etc.).</t>
  </si>
  <si>
    <t>Finding 5</t>
  </si>
  <si>
    <t>LinkedIn engagement rate is strong but reach is low, best used for B2B / merchant audience, not mass consumer awareness.</t>
  </si>
  <si>
    <t>Source: Simulated 90-day dataset based on real Kenyan fintech social media benchmarks (Dash Social Africa 2025, KWETU Marketing Agency 2025).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</si>
</sst>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&quot;%&quot;"/>
    <numFmt numFmtId="165" formatCode="0.0"/>
  </numFmts>
  <fonts count="20">
    <font>
      <sz val="11.0"/>
      <color rgb="FF000000"/>
      <name val="Arial"/>
      <scheme val="minor"/>
    </font>
    <font>
      <b/>
      <sz val="9.0"/>
      <color rgb="FF1A7A3C"/>
      <name val="Arial"/>
    </font>
    <font>
      <sz val="9.0"/>
      <color rgb="FF6B6B6B"/>
      <name val="Arial"/>
    </font>
    <font>
      <b/>
      <sz val="9.0"/>
      <color rgb="FFFFFFFF"/>
      <name val="Arial"/>
    </font>
    <font>
      <sz val="10.0"/>
      <color rgb="FF0A0A0A"/>
      <name val="Arial"/>
    </font>
    <font>
      <sz val="10.0"/>
      <color rgb="FF0000FF"/>
      <name val="Arial"/>
    </font>
    <font>
      <b/>
      <sz val="10.0"/>
      <color rgb="FF1A7A3C"/>
      <name val="Arial"/>
    </font>
    <font>
      <sz val="10.0"/>
      <color rgb="FFE05C1A"/>
      <name val="Arial"/>
    </font>
    <font>
      <b/>
      <sz val="14.0"/>
      <color rgb="FFFFFFFF"/>
      <name val="Arial"/>
    </font>
    <font/>
    <font>
      <b/>
      <sz val="8.0"/>
      <color rgb="FF6B6B6B"/>
      <name val="Arial"/>
    </font>
    <font>
      <b/>
      <sz val="11.0"/>
      <color rgb="FF1A7A3C"/>
      <name val="Arial"/>
    </font>
    <font>
      <sz val="11.0"/>
      <color theme="1"/>
      <name val="Calibri"/>
    </font>
    <font>
      <b/>
      <sz val="10.0"/>
      <color rgb="FF0A0A0A"/>
      <name val="Arial"/>
    </font>
    <font>
      <sz val="11.0"/>
      <color rgb="FF0A0A0A"/>
      <name val="Arial"/>
    </font>
    <font>
      <sz val="10.0"/>
      <color rgb="FF1A7A3C"/>
      <name val="Arial"/>
    </font>
    <font>
      <sz val="9.0"/>
      <color rgb="FF1A7A3C"/>
      <name val="Arial"/>
    </font>
    <font>
      <sz val="9.0"/>
      <color rgb="FFE05C1A"/>
      <name val="Arial"/>
    </font>
    <font>
      <sz val="9.0"/>
      <color rgb="FF0A0A0A"/>
      <name val="Arial"/>
    </font>
    <font>
      <i/>
      <sz val="8.0"/>
      <color rgb="FF6B6B6B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A0A0A"/>
        <bgColor rgb="FF0A0A0A"/>
      </patternFill>
    </fill>
    <fill>
      <patternFill patternType="solid">
        <fgColor rgb="FFF5F3EE"/>
        <bgColor rgb="FFF5F3EE"/>
      </patternFill>
    </fill>
    <fill>
      <patternFill patternType="solid">
        <fgColor rgb="FF1A7A3C"/>
        <bgColor rgb="FF1A7A3C"/>
      </patternFill>
    </fill>
  </fills>
  <borders count="7">
    <border/>
    <border>
      <left style="thin">
        <color rgb="FFD9D5CD"/>
      </left>
      <right style="thin">
        <color rgb="FFD9D5CD"/>
      </right>
      <top style="thin">
        <color rgb="FFD9D5CD"/>
      </top>
      <bottom style="thin">
        <color rgb="FFD9D5CD"/>
      </bottom>
    </border>
    <border>
      <left/>
      <top/>
      <bottom/>
    </border>
    <border>
      <top/>
      <bottom/>
    </border>
    <border>
      <left style="thin">
        <color rgb="FFD9D5CD"/>
      </left>
      <top style="thin">
        <color rgb="FFD9D5CD"/>
      </top>
      <bottom style="thin">
        <color rgb="FFD9D5CD"/>
      </bottom>
    </border>
    <border>
      <top style="thin">
        <color rgb="FFD9D5CD"/>
      </top>
      <bottom style="thin">
        <color rgb="FFD9D5CD"/>
      </bottom>
    </border>
    <border>
      <right style="thin">
        <color rgb="FFD9D5CD"/>
      </right>
      <top style="thin">
        <color rgb="FFD9D5CD"/>
      </top>
      <bottom style="thin">
        <color rgb="FFD9D5CD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1" fillId="2" fontId="3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" fillId="0" fontId="4" numFmtId="164" xfId="0" applyAlignment="1" applyBorder="1" applyFont="1" applyNumberFormat="1">
      <alignment horizontal="left" shrinkToFit="0" vertical="center" wrapText="1"/>
    </xf>
    <xf borderId="1" fillId="3" fontId="4" numFmtId="0" xfId="0" applyAlignment="1" applyBorder="1" applyFill="1" applyFont="1">
      <alignment horizontal="center" vertical="center"/>
    </xf>
    <xf borderId="1" fillId="3" fontId="4" numFmtId="0" xfId="0" applyAlignment="1" applyBorder="1" applyFont="1">
      <alignment horizontal="left" shrinkToFit="0" vertical="center" wrapText="1"/>
    </xf>
    <xf borderId="1" fillId="3" fontId="4" numFmtId="0" xfId="0" applyAlignment="1" applyBorder="1" applyFont="1">
      <alignment horizontal="left" readingOrder="0" shrinkToFit="0" vertical="center" wrapText="1"/>
    </xf>
    <xf borderId="1" fillId="3" fontId="5" numFmtId="0" xfId="0" applyAlignment="1" applyBorder="1" applyFont="1">
      <alignment horizontal="left" shrinkToFit="0" vertical="center" wrapText="1"/>
    </xf>
    <xf borderId="1" fillId="3" fontId="4" numFmtId="164" xfId="0" applyAlignment="1" applyBorder="1" applyFont="1" applyNumberFormat="1">
      <alignment horizontal="left" shrinkToFit="0" vertical="center" wrapText="1"/>
    </xf>
    <xf borderId="1" fillId="0" fontId="6" numFmtId="164" xfId="0" applyAlignment="1" applyBorder="1" applyFont="1" applyNumberFormat="1">
      <alignment horizontal="left" shrinkToFit="0" vertical="center" wrapText="1"/>
    </xf>
    <xf borderId="1" fillId="3" fontId="6" numFmtId="164" xfId="0" applyAlignment="1" applyBorder="1" applyFont="1" applyNumberFormat="1">
      <alignment horizontal="left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7" numFmtId="164" xfId="0" applyAlignment="1" applyBorder="1" applyFont="1" applyNumberFormat="1">
      <alignment horizontal="left" shrinkToFit="0" vertical="center" wrapText="1"/>
    </xf>
    <xf borderId="1" fillId="3" fontId="7" numFmtId="164" xfId="0" applyAlignment="1" applyBorder="1" applyFont="1" applyNumberFormat="1">
      <alignment horizontal="left" shrinkToFit="0" vertical="center" wrapText="1"/>
    </xf>
    <xf borderId="2" fillId="2" fontId="8" numFmtId="0" xfId="0" applyAlignment="1" applyBorder="1" applyFont="1">
      <alignment horizontal="left" readingOrder="0" vertical="center"/>
    </xf>
    <xf borderId="3" fillId="0" fontId="9" numFmtId="0" xfId="0" applyBorder="1" applyFont="1"/>
    <xf borderId="2" fillId="3" fontId="2" numFmtId="0" xfId="0" applyAlignment="1" applyBorder="1" applyFont="1">
      <alignment horizontal="left" vertical="center"/>
    </xf>
    <xf borderId="2" fillId="4" fontId="3" numFmtId="0" xfId="0" applyAlignment="1" applyBorder="1" applyFill="1" applyFont="1">
      <alignment horizontal="left" readingOrder="0" vertical="center"/>
    </xf>
    <xf borderId="1" fillId="3" fontId="10" numFmtId="0" xfId="0" applyAlignment="1" applyBorder="1" applyFont="1">
      <alignment horizontal="center" vertical="center"/>
    </xf>
    <xf borderId="1" fillId="3" fontId="4" numFmtId="0" xfId="0" applyBorder="1" applyFont="1"/>
    <xf borderId="1" fillId="0" fontId="11" numFmtId="0" xfId="0" applyAlignment="1" applyBorder="1" applyFont="1">
      <alignment horizontal="center" vertical="center"/>
    </xf>
    <xf borderId="1" fillId="0" fontId="12" numFmtId="0" xfId="0" applyBorder="1" applyFont="1"/>
    <xf borderId="1" fillId="0" fontId="11" numFmtId="3" xfId="0" applyAlignment="1" applyBorder="1" applyFont="1" applyNumberFormat="1">
      <alignment horizontal="center" vertical="center"/>
    </xf>
    <xf borderId="1" fillId="0" fontId="4" numFmtId="0" xfId="0" applyBorder="1" applyFont="1"/>
    <xf borderId="1" fillId="0" fontId="11" numFmtId="164" xfId="0" applyAlignment="1" applyBorder="1" applyFont="1" applyNumberFormat="1">
      <alignment horizontal="center" vertical="center"/>
    </xf>
    <xf borderId="1" fillId="3" fontId="13" numFmtId="0" xfId="0" applyAlignment="1" applyBorder="1" applyFont="1">
      <alignment horizontal="left" shrinkToFit="0" vertical="center" wrapText="1"/>
    </xf>
    <xf borderId="1" fillId="0" fontId="14" numFmtId="3" xfId="0" applyAlignment="1" applyBorder="1" applyFont="1" applyNumberFormat="1">
      <alignment horizontal="center" vertical="center"/>
    </xf>
    <xf borderId="1" fillId="0" fontId="15" numFmtId="0" xfId="0" applyAlignment="1" applyBorder="1" applyFont="1">
      <alignment horizontal="left" shrinkToFit="0" vertical="center" wrapText="1"/>
    </xf>
    <xf borderId="1" fillId="0" fontId="13" numFmtId="0" xfId="0" applyAlignment="1" applyBorder="1" applyFont="1">
      <alignment horizontal="left" shrinkToFit="0" vertical="center" wrapText="1"/>
    </xf>
    <xf borderId="1" fillId="0" fontId="14" numFmtId="165" xfId="0" applyAlignment="1" applyBorder="1" applyFont="1" applyNumberFormat="1">
      <alignment horizontal="center" vertical="center"/>
    </xf>
    <xf borderId="1" fillId="0" fontId="16" numFmtId="0" xfId="0" applyAlignment="1" applyBorder="1" applyFont="1">
      <alignment horizontal="left" readingOrder="0" shrinkToFit="0" vertical="center" wrapText="1"/>
    </xf>
    <xf borderId="1" fillId="0" fontId="17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3" fontId="13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vertical="center"/>
    </xf>
    <xf borderId="2" fillId="4" fontId="3" numFmtId="0" xfId="0" applyAlignment="1" applyBorder="1" applyFont="1">
      <alignment horizontal="left" vertical="center"/>
    </xf>
    <xf borderId="1" fillId="3" fontId="1" numFmtId="0" xfId="0" applyAlignment="1" applyBorder="1" applyFont="1">
      <alignment horizontal="left" shrinkToFit="0" vertical="center" wrapText="1"/>
    </xf>
    <xf borderId="4" fillId="3" fontId="18" numFmtId="0" xfId="0" applyAlignment="1" applyBorder="1" applyFont="1">
      <alignment horizontal="left" readingOrder="0" shrinkToFit="0" vertical="center" wrapText="1"/>
    </xf>
    <xf borderId="5" fillId="0" fontId="9" numFmtId="0" xfId="0" applyBorder="1" applyFont="1"/>
    <xf borderId="6" fillId="0" fontId="9" numFmtId="0" xfId="0" applyBorder="1" applyFont="1"/>
    <xf borderId="1" fillId="0" fontId="1" numFmtId="0" xfId="0" applyAlignment="1" applyBorder="1" applyFont="1">
      <alignment horizontal="left" shrinkToFit="0" vertical="center" wrapText="1"/>
    </xf>
    <xf borderId="4" fillId="0" fontId="18" numFmtId="0" xfId="0" applyAlignment="1" applyBorder="1" applyFont="1">
      <alignment horizontal="left" readingOrder="0" shrinkToFit="0" vertical="center" wrapText="1"/>
    </xf>
    <xf borderId="0" fillId="0" fontId="19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0"/>
    <col customWidth="1" min="2" max="2" width="7.0"/>
    <col customWidth="1" min="3" max="3" width="12.0"/>
    <col customWidth="1" min="4" max="4" width="18.0"/>
    <col customWidth="1" min="5" max="5" width="28.0"/>
    <col customWidth="1" min="6" max="6" width="10.0"/>
    <col customWidth="1" min="7" max="7" width="12.0"/>
    <col customWidth="1" min="8" max="8" width="8.0"/>
    <col customWidth="1" min="9" max="9" width="10.0"/>
    <col customWidth="1" min="10" max="11" width="8.0"/>
    <col customWidth="1" min="12" max="12" width="14.0"/>
    <col customWidth="1" min="13" max="13" width="12.0"/>
    <col customWidth="1" min="14" max="14" width="14.0"/>
    <col customWidth="1" min="15" max="15" width="18.0"/>
    <col customWidth="1" min="16" max="16" width="22.0"/>
    <col customWidth="1" min="17" max="26" width="14.38"/>
  </cols>
  <sheetData>
    <row r="1">
      <c r="A1" s="1" t="s">
        <v>0</v>
      </c>
      <c r="B1" s="2" t="s">
        <v>1</v>
      </c>
      <c r="D1" s="1" t="s">
        <v>2</v>
      </c>
      <c r="E1" s="2" t="s">
        <v>3</v>
      </c>
      <c r="G1" s="1" t="s">
        <v>4</v>
      </c>
      <c r="H1" s="3" t="s">
        <v>5</v>
      </c>
    </row>
    <row r="2" ht="27.75" customHeight="1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4" t="s">
        <v>19</v>
      </c>
      <c r="O2" s="4" t="s">
        <v>20</v>
      </c>
      <c r="P2" s="4" t="s">
        <v>21</v>
      </c>
    </row>
    <row r="3">
      <c r="A3" s="5" t="s">
        <v>22</v>
      </c>
      <c r="B3" s="5" t="s">
        <v>23</v>
      </c>
      <c r="C3" s="6" t="s">
        <v>24</v>
      </c>
      <c r="D3" s="6" t="s">
        <v>25</v>
      </c>
      <c r="E3" s="6" t="s">
        <v>26</v>
      </c>
      <c r="F3" s="7">
        <v>921.0</v>
      </c>
      <c r="G3" s="7">
        <v>1060.0</v>
      </c>
      <c r="H3" s="7">
        <v>10.0</v>
      </c>
      <c r="I3" s="7">
        <v>2.0</v>
      </c>
      <c r="J3" s="7">
        <v>0.0</v>
      </c>
      <c r="K3" s="7">
        <v>0.0</v>
      </c>
      <c r="L3" s="7">
        <v>53.0</v>
      </c>
      <c r="M3" s="7">
        <v>36.0</v>
      </c>
      <c r="N3" s="7">
        <v>7.0</v>
      </c>
      <c r="O3" s="8">
        <v>1.8</v>
      </c>
      <c r="P3" s="6"/>
    </row>
    <row r="4">
      <c r="A4" s="9" t="s">
        <v>22</v>
      </c>
      <c r="B4" s="9" t="s">
        <v>23</v>
      </c>
      <c r="C4" s="10" t="s">
        <v>27</v>
      </c>
      <c r="D4" s="10" t="s">
        <v>28</v>
      </c>
      <c r="E4" s="11" t="s">
        <v>29</v>
      </c>
      <c r="F4" s="12">
        <v>3226.0</v>
      </c>
      <c r="G4" s="12">
        <v>3904.0</v>
      </c>
      <c r="H4" s="12">
        <v>42.0</v>
      </c>
      <c r="I4" s="12">
        <v>5.0</v>
      </c>
      <c r="J4" s="12">
        <v>6.0</v>
      </c>
      <c r="K4" s="12">
        <v>7.0</v>
      </c>
      <c r="L4" s="12">
        <v>216.0</v>
      </c>
      <c r="M4" s="12">
        <v>57.0</v>
      </c>
      <c r="N4" s="12">
        <v>15.0</v>
      </c>
      <c r="O4" s="13">
        <v>1.96</v>
      </c>
      <c r="P4" s="10"/>
    </row>
    <row r="5">
      <c r="A5" s="5" t="s">
        <v>30</v>
      </c>
      <c r="B5" s="5" t="s">
        <v>23</v>
      </c>
      <c r="C5" s="6" t="s">
        <v>24</v>
      </c>
      <c r="D5" s="6" t="s">
        <v>31</v>
      </c>
      <c r="E5" s="6" t="s">
        <v>32</v>
      </c>
      <c r="F5" s="7">
        <v>4247.0</v>
      </c>
      <c r="G5" s="7">
        <v>6385.0</v>
      </c>
      <c r="H5" s="7">
        <v>95.0</v>
      </c>
      <c r="I5" s="7">
        <v>26.0</v>
      </c>
      <c r="J5" s="7">
        <v>11.0</v>
      </c>
      <c r="K5" s="7">
        <v>15.0</v>
      </c>
      <c r="L5" s="7">
        <v>451.0</v>
      </c>
      <c r="M5" s="7">
        <v>173.0</v>
      </c>
      <c r="N5" s="7">
        <v>22.0</v>
      </c>
      <c r="O5" s="14">
        <v>3.57</v>
      </c>
      <c r="P5" s="6"/>
    </row>
    <row r="6">
      <c r="A6" s="9" t="s">
        <v>30</v>
      </c>
      <c r="B6" s="9" t="s">
        <v>23</v>
      </c>
      <c r="C6" s="10" t="s">
        <v>33</v>
      </c>
      <c r="D6" s="10" t="s">
        <v>34</v>
      </c>
      <c r="E6" s="11" t="s">
        <v>35</v>
      </c>
      <c r="F6" s="12">
        <v>1916.0</v>
      </c>
      <c r="G6" s="12">
        <v>2741.0</v>
      </c>
      <c r="H6" s="12">
        <v>82.0</v>
      </c>
      <c r="I6" s="12">
        <v>19.0</v>
      </c>
      <c r="J6" s="12">
        <v>13.0</v>
      </c>
      <c r="K6" s="12">
        <v>10.0</v>
      </c>
      <c r="L6" s="12">
        <v>146.0</v>
      </c>
      <c r="M6" s="12">
        <v>99.0</v>
      </c>
      <c r="N6" s="12">
        <v>12.0</v>
      </c>
      <c r="O6" s="15">
        <v>6.16</v>
      </c>
      <c r="P6" s="10"/>
    </row>
    <row r="7">
      <c r="A7" s="5" t="s">
        <v>36</v>
      </c>
      <c r="B7" s="5" t="s">
        <v>23</v>
      </c>
      <c r="C7" s="6" t="s">
        <v>27</v>
      </c>
      <c r="D7" s="6" t="s">
        <v>37</v>
      </c>
      <c r="E7" s="16" t="s">
        <v>38</v>
      </c>
      <c r="F7" s="7">
        <v>1021.0</v>
      </c>
      <c r="G7" s="7">
        <v>1447.0</v>
      </c>
      <c r="H7" s="7">
        <v>8.0</v>
      </c>
      <c r="I7" s="7">
        <v>1.0</v>
      </c>
      <c r="J7" s="7">
        <v>1.0</v>
      </c>
      <c r="K7" s="7">
        <v>2.0</v>
      </c>
      <c r="L7" s="7">
        <v>97.0</v>
      </c>
      <c r="M7" s="7">
        <v>21.0</v>
      </c>
      <c r="N7" s="7">
        <v>5.0</v>
      </c>
      <c r="O7" s="8">
        <v>1.49</v>
      </c>
      <c r="P7" s="6"/>
    </row>
    <row r="8">
      <c r="A8" s="9" t="s">
        <v>36</v>
      </c>
      <c r="B8" s="9" t="s">
        <v>23</v>
      </c>
      <c r="C8" s="10" t="s">
        <v>39</v>
      </c>
      <c r="D8" s="10" t="s">
        <v>28</v>
      </c>
      <c r="E8" s="11" t="s">
        <v>40</v>
      </c>
      <c r="F8" s="12">
        <v>1029.0</v>
      </c>
      <c r="G8" s="12">
        <v>1148.0</v>
      </c>
      <c r="H8" s="12">
        <v>20.0</v>
      </c>
      <c r="I8" s="12">
        <v>3.0</v>
      </c>
      <c r="J8" s="12">
        <v>3.0</v>
      </c>
      <c r="K8" s="12">
        <v>4.0</v>
      </c>
      <c r="L8" s="12">
        <v>67.0</v>
      </c>
      <c r="M8" s="12">
        <v>44.0</v>
      </c>
      <c r="N8" s="12">
        <v>3.0</v>
      </c>
      <c r="O8" s="15">
        <v>3.33</v>
      </c>
      <c r="P8" s="10"/>
    </row>
    <row r="9">
      <c r="A9" s="5" t="s">
        <v>41</v>
      </c>
      <c r="B9" s="5" t="s">
        <v>23</v>
      </c>
      <c r="C9" s="6" t="s">
        <v>39</v>
      </c>
      <c r="D9" s="6" t="s">
        <v>31</v>
      </c>
      <c r="E9" s="6" t="s">
        <v>42</v>
      </c>
      <c r="F9" s="7">
        <v>1598.0</v>
      </c>
      <c r="G9" s="7">
        <v>1967.0</v>
      </c>
      <c r="H9" s="7">
        <v>43.0</v>
      </c>
      <c r="I9" s="7">
        <v>7.0</v>
      </c>
      <c r="J9" s="7">
        <v>4.0</v>
      </c>
      <c r="K9" s="7">
        <v>9.0</v>
      </c>
      <c r="L9" s="7">
        <v>129.0</v>
      </c>
      <c r="M9" s="7">
        <v>23.0</v>
      </c>
      <c r="N9" s="7">
        <v>0.0</v>
      </c>
      <c r="O9" s="14">
        <v>3.97</v>
      </c>
      <c r="P9" s="6"/>
    </row>
    <row r="10">
      <c r="A10" s="9" t="s">
        <v>41</v>
      </c>
      <c r="B10" s="9" t="s">
        <v>23</v>
      </c>
      <c r="C10" s="10" t="s">
        <v>24</v>
      </c>
      <c r="D10" s="10" t="s">
        <v>31</v>
      </c>
      <c r="E10" s="10" t="s">
        <v>42</v>
      </c>
      <c r="F10" s="12">
        <v>1948.0</v>
      </c>
      <c r="G10" s="12">
        <v>2805.0</v>
      </c>
      <c r="H10" s="12">
        <v>36.0</v>
      </c>
      <c r="I10" s="12">
        <v>8.0</v>
      </c>
      <c r="J10" s="12">
        <v>4.0</v>
      </c>
      <c r="K10" s="12">
        <v>4.0</v>
      </c>
      <c r="L10" s="12">
        <v>164.0</v>
      </c>
      <c r="M10" s="12">
        <v>111.0</v>
      </c>
      <c r="N10" s="12">
        <v>18.0</v>
      </c>
      <c r="O10" s="15">
        <v>3.12</v>
      </c>
      <c r="P10" s="10"/>
    </row>
    <row r="11">
      <c r="A11" s="5" t="s">
        <v>41</v>
      </c>
      <c r="B11" s="5" t="s">
        <v>23</v>
      </c>
      <c r="C11" s="6" t="s">
        <v>33</v>
      </c>
      <c r="D11" s="6" t="s">
        <v>31</v>
      </c>
      <c r="E11" s="6" t="s">
        <v>43</v>
      </c>
      <c r="F11" s="7">
        <v>9879.0</v>
      </c>
      <c r="G11" s="7">
        <v>14663.0</v>
      </c>
      <c r="H11" s="7">
        <v>270.0</v>
      </c>
      <c r="I11" s="7">
        <v>43.0</v>
      </c>
      <c r="J11" s="7">
        <v>22.0</v>
      </c>
      <c r="K11" s="7">
        <v>55.0</v>
      </c>
      <c r="L11" s="7">
        <v>963.0</v>
      </c>
      <c r="M11" s="7">
        <v>578.0</v>
      </c>
      <c r="N11" s="7">
        <v>49.0</v>
      </c>
      <c r="O11" s="14">
        <v>4.62</v>
      </c>
      <c r="P11" s="6" t="s">
        <v>44</v>
      </c>
    </row>
    <row r="12">
      <c r="A12" s="9" t="s">
        <v>45</v>
      </c>
      <c r="B12" s="9" t="s">
        <v>23</v>
      </c>
      <c r="C12" s="10" t="s">
        <v>24</v>
      </c>
      <c r="D12" s="10" t="s">
        <v>25</v>
      </c>
      <c r="E12" s="10" t="s">
        <v>46</v>
      </c>
      <c r="F12" s="12">
        <v>1874.0</v>
      </c>
      <c r="G12" s="12">
        <v>2247.0</v>
      </c>
      <c r="H12" s="12">
        <v>12.0</v>
      </c>
      <c r="I12" s="12">
        <v>3.0</v>
      </c>
      <c r="J12" s="12">
        <v>2.0</v>
      </c>
      <c r="K12" s="12">
        <v>3.0</v>
      </c>
      <c r="L12" s="12">
        <v>164.0</v>
      </c>
      <c r="M12" s="12">
        <v>64.0</v>
      </c>
      <c r="N12" s="12">
        <v>2.0</v>
      </c>
      <c r="O12" s="13">
        <v>1.19</v>
      </c>
      <c r="P12" s="11" t="s">
        <v>47</v>
      </c>
    </row>
    <row r="13">
      <c r="A13" s="5" t="s">
        <v>45</v>
      </c>
      <c r="B13" s="5" t="s">
        <v>23</v>
      </c>
      <c r="C13" s="6" t="s">
        <v>27</v>
      </c>
      <c r="D13" s="6" t="s">
        <v>25</v>
      </c>
      <c r="E13" s="6" t="s">
        <v>48</v>
      </c>
      <c r="F13" s="7">
        <v>855.0</v>
      </c>
      <c r="G13" s="7">
        <v>1043.0</v>
      </c>
      <c r="H13" s="7">
        <v>3.0</v>
      </c>
      <c r="I13" s="7">
        <v>1.0</v>
      </c>
      <c r="J13" s="7">
        <v>0.0</v>
      </c>
      <c r="K13" s="7">
        <v>1.0</v>
      </c>
      <c r="L13" s="7">
        <v>70.0</v>
      </c>
      <c r="M13" s="7">
        <v>13.0</v>
      </c>
      <c r="N13" s="7">
        <v>4.0</v>
      </c>
      <c r="O13" s="17">
        <v>0.84</v>
      </c>
      <c r="P13" s="16" t="s">
        <v>47</v>
      </c>
    </row>
    <row r="14">
      <c r="A14" s="9" t="s">
        <v>49</v>
      </c>
      <c r="B14" s="9" t="s">
        <v>23</v>
      </c>
      <c r="C14" s="10" t="s">
        <v>33</v>
      </c>
      <c r="D14" s="10" t="s">
        <v>37</v>
      </c>
      <c r="E14" s="10" t="s">
        <v>50</v>
      </c>
      <c r="F14" s="12">
        <v>9218.0</v>
      </c>
      <c r="G14" s="12">
        <v>13319.0</v>
      </c>
      <c r="H14" s="12">
        <v>385.0</v>
      </c>
      <c r="I14" s="12">
        <v>93.0</v>
      </c>
      <c r="J14" s="12">
        <v>48.0</v>
      </c>
      <c r="K14" s="12">
        <v>88.0</v>
      </c>
      <c r="L14" s="12">
        <v>701.0</v>
      </c>
      <c r="M14" s="12">
        <v>206.0</v>
      </c>
      <c r="N14" s="12">
        <v>9.0</v>
      </c>
      <c r="O14" s="15">
        <v>6.86</v>
      </c>
      <c r="P14" s="10" t="s">
        <v>44</v>
      </c>
    </row>
    <row r="15">
      <c r="A15" s="5" t="s">
        <v>49</v>
      </c>
      <c r="B15" s="5" t="s">
        <v>23</v>
      </c>
      <c r="C15" s="6" t="s">
        <v>39</v>
      </c>
      <c r="D15" s="6" t="s">
        <v>31</v>
      </c>
      <c r="E15" s="6" t="s">
        <v>43</v>
      </c>
      <c r="F15" s="7">
        <v>903.0</v>
      </c>
      <c r="G15" s="7">
        <v>1092.0</v>
      </c>
      <c r="H15" s="7">
        <v>10.0</v>
      </c>
      <c r="I15" s="7">
        <v>1.0</v>
      </c>
      <c r="J15" s="7">
        <v>1.0</v>
      </c>
      <c r="K15" s="7">
        <v>2.0</v>
      </c>
      <c r="L15" s="7">
        <v>41.0</v>
      </c>
      <c r="M15" s="7">
        <v>19.0</v>
      </c>
      <c r="N15" s="7">
        <v>5.0</v>
      </c>
      <c r="O15" s="8">
        <v>1.96</v>
      </c>
      <c r="P15" s="6"/>
    </row>
    <row r="16">
      <c r="A16" s="9" t="s">
        <v>49</v>
      </c>
      <c r="B16" s="9" t="s">
        <v>23</v>
      </c>
      <c r="C16" s="10" t="s">
        <v>27</v>
      </c>
      <c r="D16" s="10" t="s">
        <v>25</v>
      </c>
      <c r="E16" s="10" t="s">
        <v>26</v>
      </c>
      <c r="F16" s="12">
        <v>1736.0</v>
      </c>
      <c r="G16" s="12">
        <v>2675.0</v>
      </c>
      <c r="H16" s="12">
        <v>8.0</v>
      </c>
      <c r="I16" s="12">
        <v>1.0</v>
      </c>
      <c r="J16" s="12">
        <v>1.0</v>
      </c>
      <c r="K16" s="12">
        <v>0.0</v>
      </c>
      <c r="L16" s="12">
        <v>160.0</v>
      </c>
      <c r="M16" s="12">
        <v>48.0</v>
      </c>
      <c r="N16" s="12">
        <v>3.0</v>
      </c>
      <c r="O16" s="18">
        <v>0.84</v>
      </c>
      <c r="P16" s="11" t="s">
        <v>47</v>
      </c>
    </row>
    <row r="17">
      <c r="A17" s="5" t="s">
        <v>51</v>
      </c>
      <c r="B17" s="5" t="s">
        <v>23</v>
      </c>
      <c r="C17" s="6" t="s">
        <v>24</v>
      </c>
      <c r="D17" s="6" t="s">
        <v>31</v>
      </c>
      <c r="E17" s="6" t="s">
        <v>42</v>
      </c>
      <c r="F17" s="7">
        <v>2877.0</v>
      </c>
      <c r="G17" s="7">
        <v>4404.0</v>
      </c>
      <c r="H17" s="7">
        <v>32.0</v>
      </c>
      <c r="I17" s="7">
        <v>6.0</v>
      </c>
      <c r="J17" s="7">
        <v>4.0</v>
      </c>
      <c r="K17" s="7">
        <v>4.0</v>
      </c>
      <c r="L17" s="7">
        <v>172.0</v>
      </c>
      <c r="M17" s="7">
        <v>161.0</v>
      </c>
      <c r="N17" s="7">
        <v>12.0</v>
      </c>
      <c r="O17" s="8">
        <v>1.96</v>
      </c>
      <c r="P17" s="6"/>
    </row>
    <row r="18">
      <c r="A18" s="9" t="s">
        <v>51</v>
      </c>
      <c r="B18" s="9" t="s">
        <v>23</v>
      </c>
      <c r="C18" s="10" t="s">
        <v>27</v>
      </c>
      <c r="D18" s="10" t="s">
        <v>37</v>
      </c>
      <c r="E18" s="10" t="s">
        <v>50</v>
      </c>
      <c r="F18" s="12">
        <v>1110.0</v>
      </c>
      <c r="G18" s="12">
        <v>1582.0</v>
      </c>
      <c r="H18" s="12">
        <v>8.0</v>
      </c>
      <c r="I18" s="12">
        <v>1.0</v>
      </c>
      <c r="J18" s="12">
        <v>1.0</v>
      </c>
      <c r="K18" s="12">
        <v>1.0</v>
      </c>
      <c r="L18" s="12">
        <v>80.0</v>
      </c>
      <c r="M18" s="12">
        <v>37.0</v>
      </c>
      <c r="N18" s="12">
        <v>11.0</v>
      </c>
      <c r="O18" s="13">
        <v>1.5</v>
      </c>
      <c r="P18" s="10"/>
    </row>
    <row r="19">
      <c r="A19" s="5" t="s">
        <v>51</v>
      </c>
      <c r="B19" s="5" t="s">
        <v>23</v>
      </c>
      <c r="C19" s="6" t="s">
        <v>39</v>
      </c>
      <c r="D19" s="6" t="s">
        <v>37</v>
      </c>
      <c r="E19" s="6" t="s">
        <v>52</v>
      </c>
      <c r="F19" s="7">
        <v>1128.0</v>
      </c>
      <c r="G19" s="7">
        <v>1796.0</v>
      </c>
      <c r="H19" s="7">
        <v>18.0</v>
      </c>
      <c r="I19" s="7">
        <v>3.0</v>
      </c>
      <c r="J19" s="7">
        <v>2.0</v>
      </c>
      <c r="K19" s="7">
        <v>4.0</v>
      </c>
      <c r="L19" s="7">
        <v>134.0</v>
      </c>
      <c r="M19" s="7">
        <v>42.0</v>
      </c>
      <c r="N19" s="7">
        <v>5.0</v>
      </c>
      <c r="O19" s="8">
        <v>2.53</v>
      </c>
      <c r="P19" s="6"/>
    </row>
    <row r="20">
      <c r="A20" s="9" t="s">
        <v>53</v>
      </c>
      <c r="B20" s="9" t="s">
        <v>54</v>
      </c>
      <c r="C20" s="10" t="s">
        <v>27</v>
      </c>
      <c r="D20" s="10" t="s">
        <v>25</v>
      </c>
      <c r="E20" s="11" t="s">
        <v>55</v>
      </c>
      <c r="F20" s="12">
        <v>1474.0</v>
      </c>
      <c r="G20" s="12">
        <v>2020.0</v>
      </c>
      <c r="H20" s="12">
        <v>7.0</v>
      </c>
      <c r="I20" s="12">
        <v>1.0</v>
      </c>
      <c r="J20" s="12">
        <v>1.0</v>
      </c>
      <c r="K20" s="12">
        <v>1.0</v>
      </c>
      <c r="L20" s="12">
        <v>77.0</v>
      </c>
      <c r="M20" s="12">
        <v>85.0</v>
      </c>
      <c r="N20" s="12">
        <v>1.0</v>
      </c>
      <c r="O20" s="13">
        <v>1.01</v>
      </c>
      <c r="P20" s="11" t="s">
        <v>47</v>
      </c>
    </row>
    <row r="21" ht="15.75" customHeight="1">
      <c r="A21" s="5" t="s">
        <v>56</v>
      </c>
      <c r="B21" s="5" t="s">
        <v>54</v>
      </c>
      <c r="C21" s="6" t="s">
        <v>24</v>
      </c>
      <c r="D21" s="6" t="s">
        <v>34</v>
      </c>
      <c r="E21" s="6" t="s">
        <v>57</v>
      </c>
      <c r="F21" s="7">
        <v>2523.0</v>
      </c>
      <c r="G21" s="7">
        <v>3963.0</v>
      </c>
      <c r="H21" s="7">
        <v>38.0</v>
      </c>
      <c r="I21" s="7">
        <v>5.0</v>
      </c>
      <c r="J21" s="7">
        <v>3.0</v>
      </c>
      <c r="K21" s="7">
        <v>6.0</v>
      </c>
      <c r="L21" s="7">
        <v>215.0</v>
      </c>
      <c r="M21" s="7">
        <v>65.0</v>
      </c>
      <c r="N21" s="7">
        <v>6.0</v>
      </c>
      <c r="O21" s="8">
        <v>2.38</v>
      </c>
      <c r="P21" s="6"/>
    </row>
    <row r="22" ht="15.75" customHeight="1">
      <c r="A22" s="9" t="s">
        <v>58</v>
      </c>
      <c r="B22" s="9" t="s">
        <v>54</v>
      </c>
      <c r="C22" s="10" t="s">
        <v>27</v>
      </c>
      <c r="D22" s="10" t="s">
        <v>25</v>
      </c>
      <c r="E22" s="10" t="s">
        <v>26</v>
      </c>
      <c r="F22" s="12">
        <v>1642.0</v>
      </c>
      <c r="G22" s="12">
        <v>2052.0</v>
      </c>
      <c r="H22" s="12">
        <v>5.0</v>
      </c>
      <c r="I22" s="12">
        <v>0.0</v>
      </c>
      <c r="J22" s="12">
        <v>0.0</v>
      </c>
      <c r="K22" s="12">
        <v>1.0</v>
      </c>
      <c r="L22" s="12">
        <v>196.0</v>
      </c>
      <c r="M22" s="12">
        <v>22.0</v>
      </c>
      <c r="N22" s="12">
        <v>2.0</v>
      </c>
      <c r="O22" s="18">
        <v>0.59</v>
      </c>
      <c r="P22" s="11" t="s">
        <v>47</v>
      </c>
    </row>
    <row r="23" ht="15.75" customHeight="1">
      <c r="A23" s="5" t="s">
        <v>58</v>
      </c>
      <c r="B23" s="5" t="s">
        <v>54</v>
      </c>
      <c r="C23" s="6" t="s">
        <v>24</v>
      </c>
      <c r="D23" s="6" t="s">
        <v>25</v>
      </c>
      <c r="E23" s="6" t="s">
        <v>48</v>
      </c>
      <c r="F23" s="7">
        <v>2841.0</v>
      </c>
      <c r="G23" s="7">
        <v>4374.0</v>
      </c>
      <c r="H23" s="7">
        <v>18.0</v>
      </c>
      <c r="I23" s="7">
        <v>5.0</v>
      </c>
      <c r="J23" s="7">
        <v>3.0</v>
      </c>
      <c r="K23" s="7">
        <v>3.0</v>
      </c>
      <c r="L23" s="7">
        <v>338.0</v>
      </c>
      <c r="M23" s="7">
        <v>121.0</v>
      </c>
      <c r="N23" s="7">
        <v>1.0</v>
      </c>
      <c r="O23" s="8">
        <v>1.18</v>
      </c>
      <c r="P23" s="16" t="s">
        <v>47</v>
      </c>
    </row>
    <row r="24" ht="15.75" customHeight="1">
      <c r="A24" s="9" t="s">
        <v>59</v>
      </c>
      <c r="B24" s="9" t="s">
        <v>54</v>
      </c>
      <c r="C24" s="10" t="s">
        <v>27</v>
      </c>
      <c r="D24" s="10" t="s">
        <v>37</v>
      </c>
      <c r="E24" s="10" t="s">
        <v>52</v>
      </c>
      <c r="F24" s="12">
        <v>1673.0</v>
      </c>
      <c r="G24" s="12">
        <v>2584.0</v>
      </c>
      <c r="H24" s="12">
        <v>17.0</v>
      </c>
      <c r="I24" s="12">
        <v>3.0</v>
      </c>
      <c r="J24" s="12">
        <v>2.0</v>
      </c>
      <c r="K24" s="12">
        <v>2.0</v>
      </c>
      <c r="L24" s="12">
        <v>158.0</v>
      </c>
      <c r="M24" s="12">
        <v>88.0</v>
      </c>
      <c r="N24" s="12">
        <v>7.0</v>
      </c>
      <c r="O24" s="13">
        <v>1.87</v>
      </c>
      <c r="P24" s="10"/>
    </row>
    <row r="25" ht="15.75" customHeight="1">
      <c r="A25" s="5" t="s">
        <v>59</v>
      </c>
      <c r="B25" s="5" t="s">
        <v>54</v>
      </c>
      <c r="C25" s="6" t="s">
        <v>39</v>
      </c>
      <c r="D25" s="6" t="s">
        <v>25</v>
      </c>
      <c r="E25" s="16" t="s">
        <v>55</v>
      </c>
      <c r="F25" s="7">
        <v>306.0</v>
      </c>
      <c r="G25" s="7">
        <v>401.0</v>
      </c>
      <c r="H25" s="7">
        <v>2.0</v>
      </c>
      <c r="I25" s="7">
        <v>0.0</v>
      </c>
      <c r="J25" s="7">
        <v>0.0</v>
      </c>
      <c r="K25" s="7">
        <v>0.0</v>
      </c>
      <c r="L25" s="7">
        <v>30.0</v>
      </c>
      <c r="M25" s="7">
        <v>11.0</v>
      </c>
      <c r="N25" s="7">
        <v>1.0</v>
      </c>
      <c r="O25" s="8">
        <v>1.38</v>
      </c>
      <c r="P25" s="6"/>
    </row>
    <row r="26" ht="15.75" customHeight="1">
      <c r="A26" s="9" t="s">
        <v>59</v>
      </c>
      <c r="B26" s="9" t="s">
        <v>54</v>
      </c>
      <c r="C26" s="10" t="s">
        <v>24</v>
      </c>
      <c r="D26" s="10" t="s">
        <v>31</v>
      </c>
      <c r="E26" s="10" t="s">
        <v>60</v>
      </c>
      <c r="F26" s="12">
        <v>6015.0</v>
      </c>
      <c r="G26" s="12">
        <v>8694.0</v>
      </c>
      <c r="H26" s="12">
        <v>53.0</v>
      </c>
      <c r="I26" s="12">
        <v>11.0</v>
      </c>
      <c r="J26" s="12">
        <v>8.0</v>
      </c>
      <c r="K26" s="12">
        <v>9.0</v>
      </c>
      <c r="L26" s="12">
        <v>260.0</v>
      </c>
      <c r="M26" s="12">
        <v>169.0</v>
      </c>
      <c r="N26" s="12">
        <v>23.0</v>
      </c>
      <c r="O26" s="13">
        <v>1.62</v>
      </c>
      <c r="P26" s="10"/>
    </row>
    <row r="27" ht="15.75" customHeight="1">
      <c r="A27" s="5" t="s">
        <v>61</v>
      </c>
      <c r="B27" s="5" t="s">
        <v>54</v>
      </c>
      <c r="C27" s="6" t="s">
        <v>24</v>
      </c>
      <c r="D27" s="6" t="s">
        <v>34</v>
      </c>
      <c r="E27" s="16" t="s">
        <v>35</v>
      </c>
      <c r="F27" s="7">
        <v>1298.0</v>
      </c>
      <c r="G27" s="7">
        <v>1934.0</v>
      </c>
      <c r="H27" s="7">
        <v>25.0</v>
      </c>
      <c r="I27" s="7">
        <v>5.0</v>
      </c>
      <c r="J27" s="7">
        <v>2.0</v>
      </c>
      <c r="K27" s="7">
        <v>5.0</v>
      </c>
      <c r="L27" s="7">
        <v>141.0</v>
      </c>
      <c r="M27" s="7">
        <v>76.0</v>
      </c>
      <c r="N27" s="7">
        <v>16.0</v>
      </c>
      <c r="O27" s="14">
        <v>3.21</v>
      </c>
      <c r="P27" s="6"/>
    </row>
    <row r="28" ht="39.0" customHeight="1">
      <c r="A28" s="9" t="s">
        <v>61</v>
      </c>
      <c r="B28" s="9" t="s">
        <v>54</v>
      </c>
      <c r="C28" s="10" t="s">
        <v>33</v>
      </c>
      <c r="D28" s="10" t="s">
        <v>37</v>
      </c>
      <c r="E28" s="10" t="s">
        <v>62</v>
      </c>
      <c r="F28" s="12">
        <v>3378.0</v>
      </c>
      <c r="G28" s="12">
        <v>5277.0</v>
      </c>
      <c r="H28" s="12">
        <v>151.0</v>
      </c>
      <c r="I28" s="12">
        <v>36.0</v>
      </c>
      <c r="J28" s="12">
        <v>25.0</v>
      </c>
      <c r="K28" s="12">
        <v>18.0</v>
      </c>
      <c r="L28" s="12">
        <v>178.0</v>
      </c>
      <c r="M28" s="12">
        <v>152.0</v>
      </c>
      <c r="N28" s="12">
        <v>26.0</v>
      </c>
      <c r="O28" s="15">
        <v>7.34</v>
      </c>
      <c r="P28" s="10"/>
    </row>
    <row r="29" ht="15.75" customHeight="1">
      <c r="A29" s="5" t="s">
        <v>61</v>
      </c>
      <c r="B29" s="5" t="s">
        <v>54</v>
      </c>
      <c r="C29" s="6" t="s">
        <v>39</v>
      </c>
      <c r="D29" s="6" t="s">
        <v>31</v>
      </c>
      <c r="E29" s="6" t="s">
        <v>63</v>
      </c>
      <c r="F29" s="7">
        <v>887.0</v>
      </c>
      <c r="G29" s="7">
        <v>1337.0</v>
      </c>
      <c r="H29" s="7">
        <v>17.0</v>
      </c>
      <c r="I29" s="7">
        <v>4.0</v>
      </c>
      <c r="J29" s="7">
        <v>1.0</v>
      </c>
      <c r="K29" s="7">
        <v>1.0</v>
      </c>
      <c r="L29" s="7">
        <v>49.0</v>
      </c>
      <c r="M29" s="7">
        <v>23.0</v>
      </c>
      <c r="N29" s="7">
        <v>7.0</v>
      </c>
      <c r="O29" s="14">
        <v>3.48</v>
      </c>
      <c r="P29" s="6"/>
    </row>
    <row r="30" ht="15.75" customHeight="1">
      <c r="A30" s="9" t="s">
        <v>64</v>
      </c>
      <c r="B30" s="9" t="s">
        <v>54</v>
      </c>
      <c r="C30" s="10" t="s">
        <v>27</v>
      </c>
      <c r="D30" s="10" t="s">
        <v>34</v>
      </c>
      <c r="E30" s="11" t="s">
        <v>65</v>
      </c>
      <c r="F30" s="12">
        <v>1607.0</v>
      </c>
      <c r="G30" s="12">
        <v>1789.0</v>
      </c>
      <c r="H30" s="12">
        <v>16.0</v>
      </c>
      <c r="I30" s="12">
        <v>3.0</v>
      </c>
      <c r="J30" s="12">
        <v>3.0</v>
      </c>
      <c r="K30" s="12">
        <v>1.0</v>
      </c>
      <c r="L30" s="12">
        <v>140.0</v>
      </c>
      <c r="M30" s="12">
        <v>43.0</v>
      </c>
      <c r="N30" s="12">
        <v>8.0</v>
      </c>
      <c r="O30" s="13">
        <v>1.79</v>
      </c>
      <c r="P30" s="10"/>
    </row>
    <row r="31" ht="35.25" customHeight="1">
      <c r="A31" s="5" t="s">
        <v>64</v>
      </c>
      <c r="B31" s="5" t="s">
        <v>54</v>
      </c>
      <c r="C31" s="6" t="s">
        <v>33</v>
      </c>
      <c r="D31" s="6" t="s">
        <v>66</v>
      </c>
      <c r="E31" s="6" t="s">
        <v>67</v>
      </c>
      <c r="F31" s="7">
        <v>3783.0</v>
      </c>
      <c r="G31" s="7">
        <v>5862.0</v>
      </c>
      <c r="H31" s="7">
        <v>94.0</v>
      </c>
      <c r="I31" s="7">
        <v>21.0</v>
      </c>
      <c r="J31" s="7">
        <v>14.0</v>
      </c>
      <c r="K31" s="7">
        <v>22.0</v>
      </c>
      <c r="L31" s="7">
        <v>359.0</v>
      </c>
      <c r="M31" s="7">
        <v>215.0</v>
      </c>
      <c r="N31" s="7">
        <v>62.0</v>
      </c>
      <c r="O31" s="14">
        <v>4.51</v>
      </c>
      <c r="P31" s="16" t="s">
        <v>68</v>
      </c>
    </row>
    <row r="32" ht="15.75" customHeight="1">
      <c r="A32" s="9" t="s">
        <v>64</v>
      </c>
      <c r="B32" s="9" t="s">
        <v>54</v>
      </c>
      <c r="C32" s="10" t="s">
        <v>39</v>
      </c>
      <c r="D32" s="10" t="s">
        <v>31</v>
      </c>
      <c r="E32" s="10" t="s">
        <v>63</v>
      </c>
      <c r="F32" s="12">
        <v>566.0</v>
      </c>
      <c r="G32" s="12">
        <v>810.0</v>
      </c>
      <c r="H32" s="12">
        <v>9.0</v>
      </c>
      <c r="I32" s="12">
        <v>2.0</v>
      </c>
      <c r="J32" s="12">
        <v>1.0</v>
      </c>
      <c r="K32" s="12">
        <v>1.0</v>
      </c>
      <c r="L32" s="12">
        <v>36.0</v>
      </c>
      <c r="M32" s="12">
        <v>17.0</v>
      </c>
      <c r="N32" s="12">
        <v>3.0</v>
      </c>
      <c r="O32" s="13">
        <v>2.97</v>
      </c>
      <c r="P32" s="10"/>
    </row>
    <row r="33" ht="15.75" customHeight="1">
      <c r="A33" s="5" t="s">
        <v>69</v>
      </c>
      <c r="B33" s="5" t="s">
        <v>54</v>
      </c>
      <c r="C33" s="6" t="s">
        <v>33</v>
      </c>
      <c r="D33" s="6" t="s">
        <v>31</v>
      </c>
      <c r="E33" s="6" t="s">
        <v>42</v>
      </c>
      <c r="F33" s="7">
        <v>11948.0</v>
      </c>
      <c r="G33" s="7">
        <v>17189.0</v>
      </c>
      <c r="H33" s="7">
        <v>675.0</v>
      </c>
      <c r="I33" s="7">
        <v>115.0</v>
      </c>
      <c r="J33" s="7">
        <v>92.0</v>
      </c>
      <c r="K33" s="7">
        <v>52.0</v>
      </c>
      <c r="L33" s="7">
        <v>752.0</v>
      </c>
      <c r="M33" s="7">
        <v>376.0</v>
      </c>
      <c r="N33" s="7">
        <v>39.0</v>
      </c>
      <c r="O33" s="14">
        <v>8.8</v>
      </c>
      <c r="P33" s="6" t="s">
        <v>44</v>
      </c>
    </row>
    <row r="34" ht="31.5" customHeight="1">
      <c r="A34" s="9" t="s">
        <v>70</v>
      </c>
      <c r="B34" s="9" t="s">
        <v>71</v>
      </c>
      <c r="C34" s="10" t="s">
        <v>39</v>
      </c>
      <c r="D34" s="10" t="s">
        <v>66</v>
      </c>
      <c r="E34" s="10" t="s">
        <v>72</v>
      </c>
      <c r="F34" s="12">
        <v>1920.0</v>
      </c>
      <c r="G34" s="12">
        <v>2873.0</v>
      </c>
      <c r="H34" s="12">
        <v>88.0</v>
      </c>
      <c r="I34" s="12">
        <v>19.0</v>
      </c>
      <c r="J34" s="12">
        <v>9.0</v>
      </c>
      <c r="K34" s="12">
        <v>15.0</v>
      </c>
      <c r="L34" s="12">
        <v>171.0</v>
      </c>
      <c r="M34" s="12">
        <v>28.0</v>
      </c>
      <c r="N34" s="12">
        <v>10.0</v>
      </c>
      <c r="O34" s="15">
        <v>7.0</v>
      </c>
      <c r="P34" s="11" t="s">
        <v>68</v>
      </c>
    </row>
    <row r="35" ht="15.75" customHeight="1">
      <c r="A35" s="5" t="s">
        <v>70</v>
      </c>
      <c r="B35" s="5" t="s">
        <v>71</v>
      </c>
      <c r="C35" s="6" t="s">
        <v>33</v>
      </c>
      <c r="D35" s="6" t="s">
        <v>25</v>
      </c>
      <c r="E35" s="6" t="s">
        <v>48</v>
      </c>
      <c r="F35" s="7">
        <v>2066.0</v>
      </c>
      <c r="G35" s="7">
        <v>2478.0</v>
      </c>
      <c r="H35" s="7">
        <v>13.0</v>
      </c>
      <c r="I35" s="7">
        <v>2.0</v>
      </c>
      <c r="J35" s="7">
        <v>2.0</v>
      </c>
      <c r="K35" s="7">
        <v>1.0</v>
      </c>
      <c r="L35" s="7">
        <v>151.0</v>
      </c>
      <c r="M35" s="7">
        <v>85.0</v>
      </c>
      <c r="N35" s="7">
        <v>8.0</v>
      </c>
      <c r="O35" s="8">
        <v>1.14</v>
      </c>
      <c r="P35" s="16" t="s">
        <v>47</v>
      </c>
    </row>
    <row r="36" ht="15.75" customHeight="1">
      <c r="A36" s="9" t="s">
        <v>73</v>
      </c>
      <c r="B36" s="9" t="s">
        <v>71</v>
      </c>
      <c r="C36" s="10" t="s">
        <v>39</v>
      </c>
      <c r="D36" s="10" t="s">
        <v>25</v>
      </c>
      <c r="E36" s="10" t="s">
        <v>46</v>
      </c>
      <c r="F36" s="12">
        <v>932.0</v>
      </c>
      <c r="G36" s="12">
        <v>1441.0</v>
      </c>
      <c r="H36" s="12">
        <v>15.0</v>
      </c>
      <c r="I36" s="12">
        <v>3.0</v>
      </c>
      <c r="J36" s="12">
        <v>1.0</v>
      </c>
      <c r="K36" s="12">
        <v>2.0</v>
      </c>
      <c r="L36" s="12">
        <v>89.0</v>
      </c>
      <c r="M36" s="12">
        <v>30.0</v>
      </c>
      <c r="N36" s="12">
        <v>2.0</v>
      </c>
      <c r="O36" s="13">
        <v>2.53</v>
      </c>
      <c r="P36" s="10"/>
    </row>
    <row r="37" ht="31.5" customHeight="1">
      <c r="A37" s="5" t="s">
        <v>73</v>
      </c>
      <c r="B37" s="5" t="s">
        <v>71</v>
      </c>
      <c r="C37" s="6" t="s">
        <v>33</v>
      </c>
      <c r="D37" s="6" t="s">
        <v>37</v>
      </c>
      <c r="E37" s="6" t="s">
        <v>62</v>
      </c>
      <c r="F37" s="7">
        <v>6188.0</v>
      </c>
      <c r="G37" s="7">
        <v>9286.0</v>
      </c>
      <c r="H37" s="7">
        <v>282.0</v>
      </c>
      <c r="I37" s="7">
        <v>56.0</v>
      </c>
      <c r="J37" s="7">
        <v>47.0</v>
      </c>
      <c r="K37" s="7">
        <v>56.0</v>
      </c>
      <c r="L37" s="7">
        <v>550.0</v>
      </c>
      <c r="M37" s="7">
        <v>284.0</v>
      </c>
      <c r="N37" s="7">
        <v>32.0</v>
      </c>
      <c r="O37" s="14">
        <v>6.55</v>
      </c>
      <c r="P37" s="6" t="s">
        <v>44</v>
      </c>
    </row>
    <row r="38" ht="30.75" customHeight="1">
      <c r="A38" s="9" t="s">
        <v>74</v>
      </c>
      <c r="B38" s="9" t="s">
        <v>71</v>
      </c>
      <c r="C38" s="10" t="s">
        <v>39</v>
      </c>
      <c r="D38" s="10" t="s">
        <v>66</v>
      </c>
      <c r="E38" s="10" t="s">
        <v>72</v>
      </c>
      <c r="F38" s="12">
        <v>2807.0</v>
      </c>
      <c r="G38" s="12">
        <v>3476.0</v>
      </c>
      <c r="H38" s="12">
        <v>105.0</v>
      </c>
      <c r="I38" s="12">
        <v>17.0</v>
      </c>
      <c r="J38" s="12">
        <v>13.0</v>
      </c>
      <c r="K38" s="12">
        <v>20.0</v>
      </c>
      <c r="L38" s="12">
        <v>164.0</v>
      </c>
      <c r="M38" s="12">
        <v>75.0</v>
      </c>
      <c r="N38" s="12">
        <v>9.0</v>
      </c>
      <c r="O38" s="15">
        <v>6.08</v>
      </c>
      <c r="P38" s="11" t="s">
        <v>68</v>
      </c>
    </row>
    <row r="39" ht="15.75" customHeight="1">
      <c r="A39" s="5" t="s">
        <v>74</v>
      </c>
      <c r="B39" s="5" t="s">
        <v>71</v>
      </c>
      <c r="C39" s="6" t="s">
        <v>24</v>
      </c>
      <c r="D39" s="6" t="s">
        <v>31</v>
      </c>
      <c r="E39" s="6" t="s">
        <v>75</v>
      </c>
      <c r="F39" s="7">
        <v>2317.0</v>
      </c>
      <c r="G39" s="7">
        <v>3352.0</v>
      </c>
      <c r="H39" s="7">
        <v>44.0</v>
      </c>
      <c r="I39" s="7">
        <v>9.0</v>
      </c>
      <c r="J39" s="7">
        <v>7.0</v>
      </c>
      <c r="K39" s="7">
        <v>7.0</v>
      </c>
      <c r="L39" s="7">
        <v>131.0</v>
      </c>
      <c r="M39" s="7">
        <v>71.0</v>
      </c>
      <c r="N39" s="7">
        <v>23.0</v>
      </c>
      <c r="O39" s="14">
        <v>3.49</v>
      </c>
      <c r="P39" s="6"/>
    </row>
    <row r="40" ht="15.75" customHeight="1">
      <c r="A40" s="9" t="s">
        <v>74</v>
      </c>
      <c r="B40" s="9" t="s">
        <v>71</v>
      </c>
      <c r="C40" s="10" t="s">
        <v>33</v>
      </c>
      <c r="D40" s="10" t="s">
        <v>34</v>
      </c>
      <c r="E40" s="11" t="s">
        <v>35</v>
      </c>
      <c r="F40" s="12">
        <v>1487.0</v>
      </c>
      <c r="G40" s="12">
        <v>2290.0</v>
      </c>
      <c r="H40" s="12">
        <v>45.0</v>
      </c>
      <c r="I40" s="12">
        <v>12.0</v>
      </c>
      <c r="J40" s="12">
        <v>5.0</v>
      </c>
      <c r="K40" s="12">
        <v>6.0</v>
      </c>
      <c r="L40" s="12">
        <v>165.0</v>
      </c>
      <c r="M40" s="12">
        <v>77.0</v>
      </c>
      <c r="N40" s="12">
        <v>29.0</v>
      </c>
      <c r="O40" s="15">
        <v>5.01</v>
      </c>
      <c r="P40" s="10"/>
    </row>
    <row r="41" ht="15.75" customHeight="1">
      <c r="A41" s="5" t="s">
        <v>76</v>
      </c>
      <c r="B41" s="5" t="s">
        <v>71</v>
      </c>
      <c r="C41" s="6" t="s">
        <v>33</v>
      </c>
      <c r="D41" s="6" t="s">
        <v>25</v>
      </c>
      <c r="E41" s="6" t="s">
        <v>77</v>
      </c>
      <c r="F41" s="7">
        <v>3491.0</v>
      </c>
      <c r="G41" s="7">
        <v>4518.0</v>
      </c>
      <c r="H41" s="7">
        <v>82.0</v>
      </c>
      <c r="I41" s="7">
        <v>18.0</v>
      </c>
      <c r="J41" s="7">
        <v>13.0</v>
      </c>
      <c r="K41" s="7">
        <v>17.0</v>
      </c>
      <c r="L41" s="7">
        <v>413.0</v>
      </c>
      <c r="M41" s="7">
        <v>128.0</v>
      </c>
      <c r="N41" s="7">
        <v>28.0</v>
      </c>
      <c r="O41" s="14">
        <v>3.53</v>
      </c>
      <c r="P41" s="6"/>
    </row>
    <row r="42" ht="15.75" customHeight="1">
      <c r="A42" s="9" t="s">
        <v>76</v>
      </c>
      <c r="B42" s="9" t="s">
        <v>71</v>
      </c>
      <c r="C42" s="10" t="s">
        <v>39</v>
      </c>
      <c r="D42" s="10" t="s">
        <v>34</v>
      </c>
      <c r="E42" s="11" t="s">
        <v>35</v>
      </c>
      <c r="F42" s="12">
        <v>374.0</v>
      </c>
      <c r="G42" s="12">
        <v>531.0</v>
      </c>
      <c r="H42" s="12">
        <v>3.0</v>
      </c>
      <c r="I42" s="12">
        <v>0.0</v>
      </c>
      <c r="J42" s="12">
        <v>0.0</v>
      </c>
      <c r="K42" s="12">
        <v>0.0</v>
      </c>
      <c r="L42" s="12">
        <v>24.0</v>
      </c>
      <c r="M42" s="12">
        <v>17.0</v>
      </c>
      <c r="N42" s="12">
        <v>2.0</v>
      </c>
      <c r="O42" s="13">
        <v>1.74</v>
      </c>
      <c r="P42" s="10"/>
    </row>
    <row r="43" ht="15.75" customHeight="1">
      <c r="A43" s="5" t="s">
        <v>78</v>
      </c>
      <c r="B43" s="5" t="s">
        <v>71</v>
      </c>
      <c r="C43" s="6" t="s">
        <v>39</v>
      </c>
      <c r="D43" s="6" t="s">
        <v>28</v>
      </c>
      <c r="E43" s="6" t="s">
        <v>79</v>
      </c>
      <c r="F43" s="7">
        <v>526.0</v>
      </c>
      <c r="G43" s="7">
        <v>720.0</v>
      </c>
      <c r="H43" s="7">
        <v>19.0</v>
      </c>
      <c r="I43" s="7">
        <v>4.0</v>
      </c>
      <c r="J43" s="7">
        <v>3.0</v>
      </c>
      <c r="K43" s="7">
        <v>3.0</v>
      </c>
      <c r="L43" s="7">
        <v>52.0</v>
      </c>
      <c r="M43" s="7">
        <v>30.0</v>
      </c>
      <c r="N43" s="7">
        <v>1.0</v>
      </c>
      <c r="O43" s="14">
        <v>6.4</v>
      </c>
      <c r="P43" s="6"/>
    </row>
    <row r="44" ht="15.75" customHeight="1">
      <c r="A44" s="9" t="s">
        <v>78</v>
      </c>
      <c r="B44" s="9" t="s">
        <v>71</v>
      </c>
      <c r="C44" s="10" t="s">
        <v>33</v>
      </c>
      <c r="D44" s="10" t="s">
        <v>31</v>
      </c>
      <c r="E44" s="10" t="s">
        <v>75</v>
      </c>
      <c r="F44" s="12">
        <v>4284.0</v>
      </c>
      <c r="G44" s="12">
        <v>5726.0</v>
      </c>
      <c r="H44" s="12">
        <v>87.0</v>
      </c>
      <c r="I44" s="12">
        <v>15.0</v>
      </c>
      <c r="J44" s="12">
        <v>8.0</v>
      </c>
      <c r="K44" s="12">
        <v>10.0</v>
      </c>
      <c r="L44" s="12">
        <v>379.0</v>
      </c>
      <c r="M44" s="12">
        <v>249.0</v>
      </c>
      <c r="N44" s="12">
        <v>47.0</v>
      </c>
      <c r="O44" s="13">
        <v>2.95</v>
      </c>
      <c r="P44" s="10"/>
    </row>
    <row r="45" ht="15.75" customHeight="1">
      <c r="A45" s="5" t="s">
        <v>80</v>
      </c>
      <c r="B45" s="5" t="s">
        <v>71</v>
      </c>
      <c r="C45" s="6" t="s">
        <v>33</v>
      </c>
      <c r="D45" s="6" t="s">
        <v>31</v>
      </c>
      <c r="E45" s="6" t="s">
        <v>60</v>
      </c>
      <c r="F45" s="7">
        <v>11823.0</v>
      </c>
      <c r="G45" s="7">
        <v>16409.0</v>
      </c>
      <c r="H45" s="7">
        <v>633.0</v>
      </c>
      <c r="I45" s="7">
        <v>181.0</v>
      </c>
      <c r="J45" s="7">
        <v>66.0</v>
      </c>
      <c r="K45" s="7">
        <v>114.0</v>
      </c>
      <c r="L45" s="7">
        <v>1258.0</v>
      </c>
      <c r="M45" s="7">
        <v>261.0</v>
      </c>
      <c r="N45" s="7">
        <v>46.0</v>
      </c>
      <c r="O45" s="14">
        <v>8.84</v>
      </c>
      <c r="P45" s="6" t="s">
        <v>44</v>
      </c>
    </row>
    <row r="46" ht="15.75" customHeight="1">
      <c r="A46" s="9" t="s">
        <v>80</v>
      </c>
      <c r="B46" s="9" t="s">
        <v>71</v>
      </c>
      <c r="C46" s="10" t="s">
        <v>39</v>
      </c>
      <c r="D46" s="10" t="s">
        <v>25</v>
      </c>
      <c r="E46" s="10" t="s">
        <v>46</v>
      </c>
      <c r="F46" s="12">
        <v>840.0</v>
      </c>
      <c r="G46" s="12">
        <v>974.0</v>
      </c>
      <c r="H46" s="12">
        <v>15.0</v>
      </c>
      <c r="I46" s="12">
        <v>2.0</v>
      </c>
      <c r="J46" s="12">
        <v>1.0</v>
      </c>
      <c r="K46" s="12">
        <v>2.0</v>
      </c>
      <c r="L46" s="12">
        <v>67.0</v>
      </c>
      <c r="M46" s="12">
        <v>22.0</v>
      </c>
      <c r="N46" s="12">
        <v>3.0</v>
      </c>
      <c r="O46" s="13">
        <v>2.77</v>
      </c>
      <c r="P46" s="10"/>
    </row>
    <row r="47" ht="15.75" customHeight="1">
      <c r="A47" s="5" t="s">
        <v>81</v>
      </c>
      <c r="B47" s="5" t="s">
        <v>71</v>
      </c>
      <c r="C47" s="6" t="s">
        <v>24</v>
      </c>
      <c r="D47" s="6" t="s">
        <v>34</v>
      </c>
      <c r="E47" s="16" t="s">
        <v>82</v>
      </c>
      <c r="F47" s="7">
        <v>3758.0</v>
      </c>
      <c r="G47" s="7">
        <v>4952.0</v>
      </c>
      <c r="H47" s="7">
        <v>72.0</v>
      </c>
      <c r="I47" s="7">
        <v>11.0</v>
      </c>
      <c r="J47" s="7">
        <v>11.0</v>
      </c>
      <c r="K47" s="7">
        <v>10.0</v>
      </c>
      <c r="L47" s="7">
        <v>295.0</v>
      </c>
      <c r="M47" s="7">
        <v>119.0</v>
      </c>
      <c r="N47" s="7">
        <v>15.0</v>
      </c>
      <c r="O47" s="8">
        <v>2.82</v>
      </c>
      <c r="P47" s="6"/>
    </row>
    <row r="48" ht="15.75" customHeight="1">
      <c r="A48" s="9" t="s">
        <v>81</v>
      </c>
      <c r="B48" s="9" t="s">
        <v>71</v>
      </c>
      <c r="C48" s="10" t="s">
        <v>33</v>
      </c>
      <c r="D48" s="10" t="s">
        <v>25</v>
      </c>
      <c r="E48" s="10" t="s">
        <v>26</v>
      </c>
      <c r="F48" s="12">
        <v>5375.0</v>
      </c>
      <c r="G48" s="12">
        <v>6145.0</v>
      </c>
      <c r="H48" s="12">
        <v>136.0</v>
      </c>
      <c r="I48" s="12">
        <v>29.0</v>
      </c>
      <c r="J48" s="12">
        <v>21.0</v>
      </c>
      <c r="K48" s="12">
        <v>20.0</v>
      </c>
      <c r="L48" s="12">
        <v>227.0</v>
      </c>
      <c r="M48" s="12">
        <v>282.0</v>
      </c>
      <c r="N48" s="12">
        <v>8.0</v>
      </c>
      <c r="O48" s="15">
        <v>4.32</v>
      </c>
      <c r="P48" s="10"/>
    </row>
    <row r="49" ht="15.75" customHeight="1">
      <c r="A49" s="5" t="s">
        <v>81</v>
      </c>
      <c r="B49" s="5" t="s">
        <v>71</v>
      </c>
      <c r="C49" s="6" t="s">
        <v>27</v>
      </c>
      <c r="D49" s="6" t="s">
        <v>25</v>
      </c>
      <c r="E49" s="6" t="s">
        <v>48</v>
      </c>
      <c r="F49" s="7">
        <v>1039.0</v>
      </c>
      <c r="G49" s="7">
        <v>1600.0</v>
      </c>
      <c r="H49" s="7">
        <v>5.0</v>
      </c>
      <c r="I49" s="7">
        <v>0.0</v>
      </c>
      <c r="J49" s="7">
        <v>1.0</v>
      </c>
      <c r="K49" s="7">
        <v>0.0</v>
      </c>
      <c r="L49" s="7">
        <v>101.0</v>
      </c>
      <c r="M49" s="7">
        <v>35.0</v>
      </c>
      <c r="N49" s="7">
        <v>5.0</v>
      </c>
      <c r="O49" s="17">
        <v>0.97</v>
      </c>
      <c r="P49" s="16" t="s">
        <v>47</v>
      </c>
    </row>
    <row r="50" ht="15.75" customHeight="1">
      <c r="A50" s="9" t="s">
        <v>83</v>
      </c>
      <c r="B50" s="9" t="s">
        <v>84</v>
      </c>
      <c r="C50" s="10" t="s">
        <v>39</v>
      </c>
      <c r="D50" s="10" t="s">
        <v>28</v>
      </c>
      <c r="E50" s="11" t="s">
        <v>40</v>
      </c>
      <c r="F50" s="12">
        <v>1186.0</v>
      </c>
      <c r="G50" s="12">
        <v>1544.0</v>
      </c>
      <c r="H50" s="12">
        <v>22.0</v>
      </c>
      <c r="I50" s="12">
        <v>4.0</v>
      </c>
      <c r="J50" s="12">
        <v>3.0</v>
      </c>
      <c r="K50" s="12">
        <v>2.0</v>
      </c>
      <c r="L50" s="12">
        <v>142.0</v>
      </c>
      <c r="M50" s="12">
        <v>44.0</v>
      </c>
      <c r="N50" s="12">
        <v>3.0</v>
      </c>
      <c r="O50" s="15">
        <v>3.01</v>
      </c>
      <c r="P50" s="10"/>
    </row>
    <row r="51" ht="15.75" customHeight="1">
      <c r="A51" s="5" t="s">
        <v>83</v>
      </c>
      <c r="B51" s="5" t="s">
        <v>84</v>
      </c>
      <c r="C51" s="6" t="s">
        <v>33</v>
      </c>
      <c r="D51" s="6" t="s">
        <v>66</v>
      </c>
      <c r="E51" s="6" t="s">
        <v>85</v>
      </c>
      <c r="F51" s="7">
        <v>5689.0</v>
      </c>
      <c r="G51" s="7">
        <v>6601.0</v>
      </c>
      <c r="H51" s="7">
        <v>146.0</v>
      </c>
      <c r="I51" s="7">
        <v>34.0</v>
      </c>
      <c r="J51" s="7">
        <v>26.0</v>
      </c>
      <c r="K51" s="7">
        <v>17.0</v>
      </c>
      <c r="L51" s="7">
        <v>326.0</v>
      </c>
      <c r="M51" s="7">
        <v>194.0</v>
      </c>
      <c r="N51" s="7">
        <v>61.0</v>
      </c>
      <c r="O51" s="14">
        <v>4.54</v>
      </c>
      <c r="P51" s="16" t="s">
        <v>68</v>
      </c>
    </row>
    <row r="52" ht="15.75" customHeight="1">
      <c r="A52" s="9" t="s">
        <v>86</v>
      </c>
      <c r="B52" s="9" t="s">
        <v>84</v>
      </c>
      <c r="C52" s="10" t="s">
        <v>27</v>
      </c>
      <c r="D52" s="10" t="s">
        <v>25</v>
      </c>
      <c r="E52" s="10" t="s">
        <v>48</v>
      </c>
      <c r="F52" s="12">
        <v>746.0</v>
      </c>
      <c r="G52" s="12">
        <v>825.0</v>
      </c>
      <c r="H52" s="12">
        <v>2.0</v>
      </c>
      <c r="I52" s="12">
        <v>0.0</v>
      </c>
      <c r="J52" s="12">
        <v>0.0</v>
      </c>
      <c r="K52" s="12">
        <v>0.0</v>
      </c>
      <c r="L52" s="12">
        <v>37.0</v>
      </c>
      <c r="M52" s="12">
        <v>39.0</v>
      </c>
      <c r="N52" s="12">
        <v>3.0</v>
      </c>
      <c r="O52" s="18">
        <v>0.8</v>
      </c>
      <c r="P52" s="11" t="s">
        <v>47</v>
      </c>
    </row>
    <row r="53" ht="15.75" customHeight="1">
      <c r="A53" s="5" t="s">
        <v>86</v>
      </c>
      <c r="B53" s="5" t="s">
        <v>84</v>
      </c>
      <c r="C53" s="6" t="s">
        <v>24</v>
      </c>
      <c r="D53" s="6" t="s">
        <v>37</v>
      </c>
      <c r="E53" s="6" t="s">
        <v>50</v>
      </c>
      <c r="F53" s="7">
        <v>2407.0</v>
      </c>
      <c r="G53" s="7">
        <v>3223.0</v>
      </c>
      <c r="H53" s="7">
        <v>34.0</v>
      </c>
      <c r="I53" s="7">
        <v>5.0</v>
      </c>
      <c r="J53" s="7">
        <v>5.0</v>
      </c>
      <c r="K53" s="7">
        <v>3.0</v>
      </c>
      <c r="L53" s="7">
        <v>108.0</v>
      </c>
      <c r="M53" s="7">
        <v>83.0</v>
      </c>
      <c r="N53" s="7">
        <v>14.0</v>
      </c>
      <c r="O53" s="8">
        <v>2.1</v>
      </c>
      <c r="P53" s="6"/>
    </row>
    <row r="54" ht="15.75" customHeight="1">
      <c r="A54" s="9" t="s">
        <v>86</v>
      </c>
      <c r="B54" s="9" t="s">
        <v>84</v>
      </c>
      <c r="C54" s="10" t="s">
        <v>39</v>
      </c>
      <c r="D54" s="10" t="s">
        <v>34</v>
      </c>
      <c r="E54" s="10" t="s">
        <v>57</v>
      </c>
      <c r="F54" s="12">
        <v>576.0</v>
      </c>
      <c r="G54" s="12">
        <v>795.0</v>
      </c>
      <c r="H54" s="12">
        <v>9.0</v>
      </c>
      <c r="I54" s="12">
        <v>1.0</v>
      </c>
      <c r="J54" s="12">
        <v>1.0</v>
      </c>
      <c r="K54" s="12">
        <v>1.0</v>
      </c>
      <c r="L54" s="12">
        <v>59.0</v>
      </c>
      <c r="M54" s="12">
        <v>12.0</v>
      </c>
      <c r="N54" s="12">
        <v>3.0</v>
      </c>
      <c r="O54" s="13">
        <v>2.26</v>
      </c>
      <c r="P54" s="10"/>
    </row>
    <row r="55" ht="15.75" customHeight="1">
      <c r="A55" s="5" t="s">
        <v>87</v>
      </c>
      <c r="B55" s="5" t="s">
        <v>84</v>
      </c>
      <c r="C55" s="6" t="s">
        <v>39</v>
      </c>
      <c r="D55" s="6" t="s">
        <v>37</v>
      </c>
      <c r="E55" s="16" t="s">
        <v>88</v>
      </c>
      <c r="F55" s="7">
        <v>985.0</v>
      </c>
      <c r="G55" s="7">
        <v>1389.0</v>
      </c>
      <c r="H55" s="7">
        <v>24.0</v>
      </c>
      <c r="I55" s="7">
        <v>6.0</v>
      </c>
      <c r="J55" s="7">
        <v>2.0</v>
      </c>
      <c r="K55" s="7">
        <v>2.0</v>
      </c>
      <c r="L55" s="7">
        <v>91.0</v>
      </c>
      <c r="M55" s="7">
        <v>17.0</v>
      </c>
      <c r="N55" s="7">
        <v>1.0</v>
      </c>
      <c r="O55" s="14">
        <v>3.78</v>
      </c>
      <c r="P55" s="6"/>
    </row>
    <row r="56" ht="15.75" customHeight="1">
      <c r="A56" s="9" t="s">
        <v>87</v>
      </c>
      <c r="B56" s="9" t="s">
        <v>84</v>
      </c>
      <c r="C56" s="10" t="s">
        <v>33</v>
      </c>
      <c r="D56" s="10" t="s">
        <v>31</v>
      </c>
      <c r="E56" s="10" t="s">
        <v>60</v>
      </c>
      <c r="F56" s="12">
        <v>6141.0</v>
      </c>
      <c r="G56" s="12">
        <v>8871.0</v>
      </c>
      <c r="H56" s="12">
        <v>190.0</v>
      </c>
      <c r="I56" s="12">
        <v>37.0</v>
      </c>
      <c r="J56" s="12">
        <v>23.0</v>
      </c>
      <c r="K56" s="12">
        <v>46.0</v>
      </c>
      <c r="L56" s="12">
        <v>280.0</v>
      </c>
      <c r="M56" s="12">
        <v>133.0</v>
      </c>
      <c r="N56" s="12">
        <v>21.0</v>
      </c>
      <c r="O56" s="15">
        <v>5.59</v>
      </c>
      <c r="P56" s="10" t="s">
        <v>44</v>
      </c>
    </row>
    <row r="57" ht="15.75" customHeight="1">
      <c r="A57" s="5" t="s">
        <v>89</v>
      </c>
      <c r="B57" s="5" t="s">
        <v>84</v>
      </c>
      <c r="C57" s="6" t="s">
        <v>33</v>
      </c>
      <c r="D57" s="6" t="s">
        <v>31</v>
      </c>
      <c r="E57" s="6" t="s">
        <v>75</v>
      </c>
      <c r="F57" s="7">
        <v>8752.0</v>
      </c>
      <c r="G57" s="7">
        <v>13602.0</v>
      </c>
      <c r="H57" s="7">
        <v>403.0</v>
      </c>
      <c r="I57" s="7">
        <v>69.0</v>
      </c>
      <c r="J57" s="7">
        <v>51.0</v>
      </c>
      <c r="K57" s="7">
        <v>89.0</v>
      </c>
      <c r="L57" s="7">
        <v>748.0</v>
      </c>
      <c r="M57" s="7">
        <v>213.0</v>
      </c>
      <c r="N57" s="7">
        <v>13.0</v>
      </c>
      <c r="O57" s="14">
        <v>8.23</v>
      </c>
      <c r="P57" s="6" t="s">
        <v>44</v>
      </c>
    </row>
    <row r="58" ht="15.75" customHeight="1">
      <c r="A58" s="9" t="s">
        <v>89</v>
      </c>
      <c r="B58" s="9" t="s">
        <v>84</v>
      </c>
      <c r="C58" s="10" t="s">
        <v>39</v>
      </c>
      <c r="D58" s="10" t="s">
        <v>34</v>
      </c>
      <c r="E58" s="11" t="s">
        <v>35</v>
      </c>
      <c r="F58" s="12">
        <v>994.0</v>
      </c>
      <c r="G58" s="12">
        <v>1228.0</v>
      </c>
      <c r="H58" s="12">
        <v>17.0</v>
      </c>
      <c r="I58" s="12">
        <v>4.0</v>
      </c>
      <c r="J58" s="12">
        <v>3.0</v>
      </c>
      <c r="K58" s="12">
        <v>3.0</v>
      </c>
      <c r="L58" s="12">
        <v>87.0</v>
      </c>
      <c r="M58" s="12">
        <v>11.0</v>
      </c>
      <c r="N58" s="12">
        <v>1.0</v>
      </c>
      <c r="O58" s="13">
        <v>2.98</v>
      </c>
      <c r="P58" s="10"/>
    </row>
    <row r="59" ht="15.75" customHeight="1">
      <c r="A59" s="5" t="s">
        <v>90</v>
      </c>
      <c r="B59" s="5" t="s">
        <v>84</v>
      </c>
      <c r="C59" s="6" t="s">
        <v>24</v>
      </c>
      <c r="D59" s="6" t="s">
        <v>28</v>
      </c>
      <c r="E59" s="16" t="s">
        <v>91</v>
      </c>
      <c r="F59" s="7">
        <v>1518.0</v>
      </c>
      <c r="G59" s="7">
        <v>2243.0</v>
      </c>
      <c r="H59" s="7">
        <v>29.0</v>
      </c>
      <c r="I59" s="7">
        <v>7.0</v>
      </c>
      <c r="J59" s="7">
        <v>2.0</v>
      </c>
      <c r="K59" s="7">
        <v>4.0</v>
      </c>
      <c r="L59" s="7">
        <v>137.0</v>
      </c>
      <c r="M59" s="7">
        <v>52.0</v>
      </c>
      <c r="N59" s="7">
        <v>5.0</v>
      </c>
      <c r="O59" s="14">
        <v>3.09</v>
      </c>
      <c r="P59" s="6"/>
    </row>
    <row r="60" ht="15.75" customHeight="1">
      <c r="A60" s="9" t="s">
        <v>90</v>
      </c>
      <c r="B60" s="9" t="s">
        <v>84</v>
      </c>
      <c r="C60" s="10" t="s">
        <v>27</v>
      </c>
      <c r="D60" s="10" t="s">
        <v>25</v>
      </c>
      <c r="E60" s="10" t="s">
        <v>48</v>
      </c>
      <c r="F60" s="12">
        <v>1004.0</v>
      </c>
      <c r="G60" s="12">
        <v>1156.0</v>
      </c>
      <c r="H60" s="12">
        <v>2.0</v>
      </c>
      <c r="I60" s="12">
        <v>0.0</v>
      </c>
      <c r="J60" s="12">
        <v>0.0</v>
      </c>
      <c r="K60" s="12">
        <v>0.0</v>
      </c>
      <c r="L60" s="12">
        <v>101.0</v>
      </c>
      <c r="M60" s="12">
        <v>11.0</v>
      </c>
      <c r="N60" s="12">
        <v>1.0</v>
      </c>
      <c r="O60" s="18">
        <v>0.44</v>
      </c>
      <c r="P60" s="11" t="s">
        <v>47</v>
      </c>
    </row>
    <row r="61" ht="15.75" customHeight="1">
      <c r="A61" s="5" t="s">
        <v>92</v>
      </c>
      <c r="B61" s="5" t="s">
        <v>84</v>
      </c>
      <c r="C61" s="6" t="s">
        <v>24</v>
      </c>
      <c r="D61" s="6" t="s">
        <v>37</v>
      </c>
      <c r="E61" s="16" t="s">
        <v>88</v>
      </c>
      <c r="F61" s="7">
        <v>5200.0</v>
      </c>
      <c r="G61" s="7">
        <v>7864.0</v>
      </c>
      <c r="H61" s="7">
        <v>36.0</v>
      </c>
      <c r="I61" s="7">
        <v>6.0</v>
      </c>
      <c r="J61" s="7">
        <v>2.0</v>
      </c>
      <c r="K61" s="7">
        <v>5.0</v>
      </c>
      <c r="L61" s="7">
        <v>467.0</v>
      </c>
      <c r="M61" s="7">
        <v>181.0</v>
      </c>
      <c r="N61" s="7">
        <v>11.0</v>
      </c>
      <c r="O61" s="8">
        <v>1.04</v>
      </c>
      <c r="P61" s="6"/>
    </row>
    <row r="62" ht="15.75" customHeight="1">
      <c r="A62" s="9" t="s">
        <v>93</v>
      </c>
      <c r="B62" s="9" t="s">
        <v>84</v>
      </c>
      <c r="C62" s="10" t="s">
        <v>27</v>
      </c>
      <c r="D62" s="10" t="s">
        <v>34</v>
      </c>
      <c r="E62" s="11" t="s">
        <v>94</v>
      </c>
      <c r="F62" s="12">
        <v>1913.0</v>
      </c>
      <c r="G62" s="12">
        <v>2772.0</v>
      </c>
      <c r="H62" s="12">
        <v>8.0</v>
      </c>
      <c r="I62" s="12">
        <v>1.0</v>
      </c>
      <c r="J62" s="12">
        <v>0.0</v>
      </c>
      <c r="K62" s="12">
        <v>0.0</v>
      </c>
      <c r="L62" s="12">
        <v>160.0</v>
      </c>
      <c r="M62" s="12">
        <v>71.0</v>
      </c>
      <c r="N62" s="12">
        <v>2.0</v>
      </c>
      <c r="O62" s="18">
        <v>0.63</v>
      </c>
      <c r="P62" s="10"/>
    </row>
    <row r="63" ht="15.75" customHeight="1">
      <c r="A63" s="5" t="s">
        <v>95</v>
      </c>
      <c r="B63" s="5" t="s">
        <v>96</v>
      </c>
      <c r="C63" s="6" t="s">
        <v>24</v>
      </c>
      <c r="D63" s="6" t="s">
        <v>34</v>
      </c>
      <c r="E63" s="6" t="s">
        <v>57</v>
      </c>
      <c r="F63" s="7">
        <v>2908.0</v>
      </c>
      <c r="G63" s="7">
        <v>4240.0</v>
      </c>
      <c r="H63" s="7">
        <v>37.0</v>
      </c>
      <c r="I63" s="7">
        <v>10.0</v>
      </c>
      <c r="J63" s="7">
        <v>7.0</v>
      </c>
      <c r="K63" s="7">
        <v>4.0</v>
      </c>
      <c r="L63" s="7">
        <v>244.0</v>
      </c>
      <c r="M63" s="7">
        <v>84.0</v>
      </c>
      <c r="N63" s="7">
        <v>18.0</v>
      </c>
      <c r="O63" s="8">
        <v>2.22</v>
      </c>
      <c r="P63" s="6"/>
    </row>
    <row r="64" ht="15.75" customHeight="1">
      <c r="A64" s="9" t="s">
        <v>95</v>
      </c>
      <c r="B64" s="9" t="s">
        <v>96</v>
      </c>
      <c r="C64" s="10" t="s">
        <v>33</v>
      </c>
      <c r="D64" s="10" t="s">
        <v>66</v>
      </c>
      <c r="E64" s="10" t="s">
        <v>72</v>
      </c>
      <c r="F64" s="12">
        <v>14290.0</v>
      </c>
      <c r="G64" s="12">
        <v>17692.0</v>
      </c>
      <c r="H64" s="12">
        <v>895.0</v>
      </c>
      <c r="I64" s="12">
        <v>253.0</v>
      </c>
      <c r="J64" s="12">
        <v>125.0</v>
      </c>
      <c r="K64" s="12">
        <v>193.0</v>
      </c>
      <c r="L64" s="12">
        <v>894.0</v>
      </c>
      <c r="M64" s="12">
        <v>356.0</v>
      </c>
      <c r="N64" s="12">
        <v>51.0</v>
      </c>
      <c r="O64" s="15">
        <v>10.24</v>
      </c>
      <c r="P64" s="11" t="s">
        <v>68</v>
      </c>
    </row>
    <row r="65" ht="15.75" customHeight="1">
      <c r="A65" s="5" t="s">
        <v>95</v>
      </c>
      <c r="B65" s="5" t="s">
        <v>96</v>
      </c>
      <c r="C65" s="6" t="s">
        <v>39</v>
      </c>
      <c r="D65" s="6" t="s">
        <v>37</v>
      </c>
      <c r="E65" s="16" t="s">
        <v>88</v>
      </c>
      <c r="F65" s="7">
        <v>2077.0</v>
      </c>
      <c r="G65" s="7">
        <v>2748.0</v>
      </c>
      <c r="H65" s="7">
        <v>40.0</v>
      </c>
      <c r="I65" s="7">
        <v>10.0</v>
      </c>
      <c r="J65" s="7">
        <v>5.0</v>
      </c>
      <c r="K65" s="7">
        <v>9.0</v>
      </c>
      <c r="L65" s="7">
        <v>227.0</v>
      </c>
      <c r="M65" s="7">
        <v>122.0</v>
      </c>
      <c r="N65" s="7">
        <v>1.0</v>
      </c>
      <c r="O65" s="14">
        <v>3.32</v>
      </c>
      <c r="P65" s="6"/>
    </row>
    <row r="66" ht="15.75" customHeight="1">
      <c r="A66" s="9" t="s">
        <v>97</v>
      </c>
      <c r="B66" s="9" t="s">
        <v>96</v>
      </c>
      <c r="C66" s="10" t="s">
        <v>39</v>
      </c>
      <c r="D66" s="10" t="s">
        <v>25</v>
      </c>
      <c r="E66" s="10" t="s">
        <v>77</v>
      </c>
      <c r="F66" s="12">
        <v>950.0</v>
      </c>
      <c r="G66" s="12">
        <v>1430.0</v>
      </c>
      <c r="H66" s="12">
        <v>9.0</v>
      </c>
      <c r="I66" s="12">
        <v>2.0</v>
      </c>
      <c r="J66" s="12">
        <v>1.0</v>
      </c>
      <c r="K66" s="12">
        <v>1.0</v>
      </c>
      <c r="L66" s="12">
        <v>40.0</v>
      </c>
      <c r="M66" s="12">
        <v>33.0</v>
      </c>
      <c r="N66" s="12">
        <v>2.0</v>
      </c>
      <c r="O66" s="13">
        <v>1.6</v>
      </c>
      <c r="P66" s="10"/>
    </row>
    <row r="67" ht="15.75" customHeight="1">
      <c r="A67" s="5" t="s">
        <v>97</v>
      </c>
      <c r="B67" s="5" t="s">
        <v>96</v>
      </c>
      <c r="C67" s="6" t="s">
        <v>24</v>
      </c>
      <c r="D67" s="6" t="s">
        <v>37</v>
      </c>
      <c r="E67" s="16" t="s">
        <v>88</v>
      </c>
      <c r="F67" s="7">
        <v>1519.0</v>
      </c>
      <c r="G67" s="7">
        <v>2362.0</v>
      </c>
      <c r="H67" s="7">
        <v>9.0</v>
      </c>
      <c r="I67" s="7">
        <v>2.0</v>
      </c>
      <c r="J67" s="7">
        <v>1.0</v>
      </c>
      <c r="K67" s="7">
        <v>0.0</v>
      </c>
      <c r="L67" s="7">
        <v>155.0</v>
      </c>
      <c r="M67" s="7">
        <v>35.0</v>
      </c>
      <c r="N67" s="7">
        <v>15.0</v>
      </c>
      <c r="O67" s="8">
        <v>1.09</v>
      </c>
      <c r="P67" s="6"/>
    </row>
    <row r="68" ht="15.75" customHeight="1">
      <c r="A68" s="9" t="s">
        <v>98</v>
      </c>
      <c r="B68" s="9" t="s">
        <v>96</v>
      </c>
      <c r="C68" s="10" t="s">
        <v>24</v>
      </c>
      <c r="D68" s="10" t="s">
        <v>37</v>
      </c>
      <c r="E68" s="10" t="s">
        <v>50</v>
      </c>
      <c r="F68" s="12">
        <v>2867.0</v>
      </c>
      <c r="G68" s="12">
        <v>3607.0</v>
      </c>
      <c r="H68" s="12">
        <v>62.0</v>
      </c>
      <c r="I68" s="12">
        <v>15.0</v>
      </c>
      <c r="J68" s="12">
        <v>4.0</v>
      </c>
      <c r="K68" s="12">
        <v>5.0</v>
      </c>
      <c r="L68" s="12">
        <v>259.0</v>
      </c>
      <c r="M68" s="12">
        <v>160.0</v>
      </c>
      <c r="N68" s="12">
        <v>23.0</v>
      </c>
      <c r="O68" s="15">
        <v>3.28</v>
      </c>
      <c r="P68" s="10"/>
    </row>
    <row r="69" ht="15.75" customHeight="1">
      <c r="A69" s="5" t="s">
        <v>98</v>
      </c>
      <c r="B69" s="5" t="s">
        <v>96</v>
      </c>
      <c r="C69" s="6" t="s">
        <v>33</v>
      </c>
      <c r="D69" s="6" t="s">
        <v>28</v>
      </c>
      <c r="E69" s="6" t="s">
        <v>79</v>
      </c>
      <c r="F69" s="7">
        <v>14129.0</v>
      </c>
      <c r="G69" s="7">
        <v>20913.0</v>
      </c>
      <c r="H69" s="7">
        <v>667.0</v>
      </c>
      <c r="I69" s="7">
        <v>114.0</v>
      </c>
      <c r="J69" s="7">
        <v>83.0</v>
      </c>
      <c r="K69" s="7">
        <v>62.0</v>
      </c>
      <c r="L69" s="7">
        <v>931.0</v>
      </c>
      <c r="M69" s="7">
        <v>180.0</v>
      </c>
      <c r="N69" s="7">
        <v>30.0</v>
      </c>
      <c r="O69" s="14">
        <v>8.37</v>
      </c>
      <c r="P69" s="6" t="s">
        <v>44</v>
      </c>
    </row>
    <row r="70" ht="15.75" customHeight="1">
      <c r="A70" s="9" t="s">
        <v>99</v>
      </c>
      <c r="B70" s="9" t="s">
        <v>96</v>
      </c>
      <c r="C70" s="10" t="s">
        <v>33</v>
      </c>
      <c r="D70" s="10" t="s">
        <v>66</v>
      </c>
      <c r="E70" s="11" t="s">
        <v>100</v>
      </c>
      <c r="F70" s="12">
        <v>13286.0</v>
      </c>
      <c r="G70" s="12">
        <v>15743.0</v>
      </c>
      <c r="H70" s="12">
        <v>311.0</v>
      </c>
      <c r="I70" s="12">
        <v>65.0</v>
      </c>
      <c r="J70" s="12">
        <v>30.0</v>
      </c>
      <c r="K70" s="12">
        <v>64.0</v>
      </c>
      <c r="L70" s="12">
        <v>683.0</v>
      </c>
      <c r="M70" s="12">
        <v>439.0</v>
      </c>
      <c r="N70" s="12">
        <v>27.0</v>
      </c>
      <c r="O70" s="15">
        <v>3.45</v>
      </c>
      <c r="P70" s="10" t="s">
        <v>44</v>
      </c>
    </row>
    <row r="71" ht="15.75" customHeight="1">
      <c r="A71" s="5" t="s">
        <v>99</v>
      </c>
      <c r="B71" s="5" t="s">
        <v>96</v>
      </c>
      <c r="C71" s="6" t="s">
        <v>27</v>
      </c>
      <c r="D71" s="6" t="s">
        <v>25</v>
      </c>
      <c r="E71" s="16" t="s">
        <v>55</v>
      </c>
      <c r="F71" s="7">
        <v>2056.0</v>
      </c>
      <c r="G71" s="7">
        <v>2739.0</v>
      </c>
      <c r="H71" s="7">
        <v>6.0</v>
      </c>
      <c r="I71" s="7">
        <v>0.0</v>
      </c>
      <c r="J71" s="7">
        <v>1.0</v>
      </c>
      <c r="K71" s="7">
        <v>1.0</v>
      </c>
      <c r="L71" s="7">
        <v>131.0</v>
      </c>
      <c r="M71" s="7">
        <v>119.0</v>
      </c>
      <c r="N71" s="7">
        <v>5.0</v>
      </c>
      <c r="O71" s="17">
        <v>0.56</v>
      </c>
      <c r="P71" s="16" t="s">
        <v>47</v>
      </c>
    </row>
    <row r="72" ht="15.75" customHeight="1">
      <c r="A72" s="9" t="s">
        <v>101</v>
      </c>
      <c r="B72" s="9" t="s">
        <v>96</v>
      </c>
      <c r="C72" s="10" t="s">
        <v>27</v>
      </c>
      <c r="D72" s="10" t="s">
        <v>37</v>
      </c>
      <c r="E72" s="11" t="s">
        <v>88</v>
      </c>
      <c r="F72" s="12">
        <v>1140.0</v>
      </c>
      <c r="G72" s="12">
        <v>1471.0</v>
      </c>
      <c r="H72" s="12">
        <v>7.0</v>
      </c>
      <c r="I72" s="12">
        <v>1.0</v>
      </c>
      <c r="J72" s="12">
        <v>0.0</v>
      </c>
      <c r="K72" s="12">
        <v>1.0</v>
      </c>
      <c r="L72" s="12">
        <v>81.0</v>
      </c>
      <c r="M72" s="12">
        <v>11.0</v>
      </c>
      <c r="N72" s="12">
        <v>11.0</v>
      </c>
      <c r="O72" s="13">
        <v>1.17</v>
      </c>
      <c r="P72" s="10"/>
    </row>
    <row r="73" ht="15.75" customHeight="1">
      <c r="A73" s="5" t="s">
        <v>101</v>
      </c>
      <c r="B73" s="5" t="s">
        <v>96</v>
      </c>
      <c r="C73" s="6" t="s">
        <v>24</v>
      </c>
      <c r="D73" s="6" t="s">
        <v>28</v>
      </c>
      <c r="E73" s="16" t="s">
        <v>40</v>
      </c>
      <c r="F73" s="7">
        <v>6670.0</v>
      </c>
      <c r="G73" s="7">
        <v>9822.0</v>
      </c>
      <c r="H73" s="7">
        <v>204.0</v>
      </c>
      <c r="I73" s="7">
        <v>46.0</v>
      </c>
      <c r="J73" s="7">
        <v>19.0</v>
      </c>
      <c r="K73" s="7">
        <v>38.0</v>
      </c>
      <c r="L73" s="7">
        <v>383.0</v>
      </c>
      <c r="M73" s="7">
        <v>130.0</v>
      </c>
      <c r="N73" s="7">
        <v>9.0</v>
      </c>
      <c r="O73" s="14">
        <v>4.48</v>
      </c>
      <c r="P73" s="6"/>
    </row>
    <row r="74" ht="15.75" customHeight="1">
      <c r="A74" s="9" t="s">
        <v>102</v>
      </c>
      <c r="B74" s="9" t="s">
        <v>96</v>
      </c>
      <c r="C74" s="10" t="s">
        <v>33</v>
      </c>
      <c r="D74" s="10" t="s">
        <v>31</v>
      </c>
      <c r="E74" s="10" t="s">
        <v>42</v>
      </c>
      <c r="F74" s="12">
        <v>8738.0</v>
      </c>
      <c r="G74" s="12">
        <v>10961.0</v>
      </c>
      <c r="H74" s="12">
        <v>298.0</v>
      </c>
      <c r="I74" s="12">
        <v>71.0</v>
      </c>
      <c r="J74" s="12">
        <v>26.0</v>
      </c>
      <c r="K74" s="12">
        <v>37.0</v>
      </c>
      <c r="L74" s="12">
        <v>872.0</v>
      </c>
      <c r="M74" s="12">
        <v>164.0</v>
      </c>
      <c r="N74" s="12">
        <v>14.0</v>
      </c>
      <c r="O74" s="15">
        <v>5.37</v>
      </c>
      <c r="P74" s="10" t="s">
        <v>44</v>
      </c>
    </row>
    <row r="75" ht="15.75" customHeight="1">
      <c r="A75" s="5" t="s">
        <v>102</v>
      </c>
      <c r="B75" s="5" t="s">
        <v>96</v>
      </c>
      <c r="C75" s="6" t="s">
        <v>27</v>
      </c>
      <c r="D75" s="6" t="s">
        <v>34</v>
      </c>
      <c r="E75" s="16" t="s">
        <v>94</v>
      </c>
      <c r="F75" s="7">
        <v>2178.0</v>
      </c>
      <c r="G75" s="7">
        <v>3390.0</v>
      </c>
      <c r="H75" s="7">
        <v>21.0</v>
      </c>
      <c r="I75" s="7">
        <v>6.0</v>
      </c>
      <c r="J75" s="7">
        <v>3.0</v>
      </c>
      <c r="K75" s="7">
        <v>4.0</v>
      </c>
      <c r="L75" s="7">
        <v>217.0</v>
      </c>
      <c r="M75" s="7">
        <v>58.0</v>
      </c>
      <c r="N75" s="7">
        <v>2.0</v>
      </c>
      <c r="O75" s="8">
        <v>1.72</v>
      </c>
      <c r="P75" s="6"/>
    </row>
    <row r="76" ht="15.75" customHeight="1">
      <c r="A76" s="9" t="s">
        <v>103</v>
      </c>
      <c r="B76" s="9" t="s">
        <v>96</v>
      </c>
      <c r="C76" s="10" t="s">
        <v>33</v>
      </c>
      <c r="D76" s="10" t="s">
        <v>37</v>
      </c>
      <c r="E76" s="10" t="s">
        <v>50</v>
      </c>
      <c r="F76" s="12">
        <v>5268.0</v>
      </c>
      <c r="G76" s="12">
        <v>7877.0</v>
      </c>
      <c r="H76" s="12">
        <v>67.0</v>
      </c>
      <c r="I76" s="12">
        <v>13.0</v>
      </c>
      <c r="J76" s="12">
        <v>10.0</v>
      </c>
      <c r="K76" s="12">
        <v>12.0</v>
      </c>
      <c r="L76" s="12">
        <v>457.0</v>
      </c>
      <c r="M76" s="12">
        <v>269.0</v>
      </c>
      <c r="N76" s="12">
        <v>55.0</v>
      </c>
      <c r="O76" s="13">
        <v>2.05</v>
      </c>
      <c r="P76" s="10"/>
    </row>
    <row r="77" ht="15.75" customHeight="1">
      <c r="A77" s="5" t="s">
        <v>103</v>
      </c>
      <c r="B77" s="5" t="s">
        <v>96</v>
      </c>
      <c r="C77" s="6" t="s">
        <v>24</v>
      </c>
      <c r="D77" s="6" t="s">
        <v>31</v>
      </c>
      <c r="E77" s="6" t="s">
        <v>75</v>
      </c>
      <c r="F77" s="7">
        <v>3562.0</v>
      </c>
      <c r="G77" s="7">
        <v>5021.0</v>
      </c>
      <c r="H77" s="7">
        <v>91.0</v>
      </c>
      <c r="I77" s="7">
        <v>21.0</v>
      </c>
      <c r="J77" s="7">
        <v>14.0</v>
      </c>
      <c r="K77" s="7">
        <v>17.0</v>
      </c>
      <c r="L77" s="7">
        <v>274.0</v>
      </c>
      <c r="M77" s="7">
        <v>160.0</v>
      </c>
      <c r="N77" s="7">
        <v>17.0</v>
      </c>
      <c r="O77" s="14">
        <v>4.29</v>
      </c>
      <c r="P77" s="6"/>
    </row>
    <row r="78" ht="15.75" customHeight="1">
      <c r="A78" s="9" t="s">
        <v>103</v>
      </c>
      <c r="B78" s="9" t="s">
        <v>96</v>
      </c>
      <c r="C78" s="10" t="s">
        <v>39</v>
      </c>
      <c r="D78" s="10" t="s">
        <v>31</v>
      </c>
      <c r="E78" s="10" t="s">
        <v>60</v>
      </c>
      <c r="F78" s="12">
        <v>2407.0</v>
      </c>
      <c r="G78" s="12">
        <v>3014.0</v>
      </c>
      <c r="H78" s="12">
        <v>48.0</v>
      </c>
      <c r="I78" s="12">
        <v>14.0</v>
      </c>
      <c r="J78" s="12">
        <v>5.0</v>
      </c>
      <c r="K78" s="12">
        <v>8.0</v>
      </c>
      <c r="L78" s="12">
        <v>225.0</v>
      </c>
      <c r="M78" s="12">
        <v>113.0</v>
      </c>
      <c r="N78" s="12">
        <v>7.0</v>
      </c>
      <c r="O78" s="15">
        <v>3.61</v>
      </c>
      <c r="P78" s="10"/>
    </row>
    <row r="79" ht="15.75" customHeight="1">
      <c r="A79" s="5" t="s">
        <v>104</v>
      </c>
      <c r="B79" s="5" t="s">
        <v>105</v>
      </c>
      <c r="C79" s="6" t="s">
        <v>33</v>
      </c>
      <c r="D79" s="6" t="s">
        <v>34</v>
      </c>
      <c r="E79" s="16" t="s">
        <v>82</v>
      </c>
      <c r="F79" s="7">
        <v>6602.0</v>
      </c>
      <c r="G79" s="7">
        <v>10362.0</v>
      </c>
      <c r="H79" s="7">
        <v>141.0</v>
      </c>
      <c r="I79" s="7">
        <v>21.0</v>
      </c>
      <c r="J79" s="7">
        <v>17.0</v>
      </c>
      <c r="K79" s="7">
        <v>15.0</v>
      </c>
      <c r="L79" s="7">
        <v>455.0</v>
      </c>
      <c r="M79" s="7">
        <v>389.0</v>
      </c>
      <c r="N79" s="7">
        <v>21.0</v>
      </c>
      <c r="O79" s="14">
        <v>3.28</v>
      </c>
      <c r="P79" s="6" t="s">
        <v>44</v>
      </c>
    </row>
    <row r="80" ht="15.75" customHeight="1">
      <c r="A80" s="9" t="s">
        <v>104</v>
      </c>
      <c r="B80" s="9" t="s">
        <v>105</v>
      </c>
      <c r="C80" s="10" t="s">
        <v>39</v>
      </c>
      <c r="D80" s="10" t="s">
        <v>37</v>
      </c>
      <c r="E80" s="11" t="s">
        <v>38</v>
      </c>
      <c r="F80" s="12">
        <v>1089.0</v>
      </c>
      <c r="G80" s="12">
        <v>1414.0</v>
      </c>
      <c r="H80" s="12">
        <v>13.0</v>
      </c>
      <c r="I80" s="12">
        <v>3.0</v>
      </c>
      <c r="J80" s="12">
        <v>1.0</v>
      </c>
      <c r="K80" s="12">
        <v>2.0</v>
      </c>
      <c r="L80" s="12">
        <v>99.0</v>
      </c>
      <c r="M80" s="12">
        <v>43.0</v>
      </c>
      <c r="N80" s="12">
        <v>0.0</v>
      </c>
      <c r="O80" s="13">
        <v>2.25</v>
      </c>
      <c r="P80" s="10"/>
    </row>
    <row r="81" ht="15.75" customHeight="1">
      <c r="A81" s="5" t="s">
        <v>106</v>
      </c>
      <c r="B81" s="5" t="s">
        <v>105</v>
      </c>
      <c r="C81" s="6" t="s">
        <v>33</v>
      </c>
      <c r="D81" s="6" t="s">
        <v>28</v>
      </c>
      <c r="E81" s="6" t="s">
        <v>107</v>
      </c>
      <c r="F81" s="7">
        <v>2776.0</v>
      </c>
      <c r="G81" s="7">
        <v>4115.0</v>
      </c>
      <c r="H81" s="7">
        <v>66.0</v>
      </c>
      <c r="I81" s="7">
        <v>19.0</v>
      </c>
      <c r="J81" s="7">
        <v>8.0</v>
      </c>
      <c r="K81" s="7">
        <v>7.0</v>
      </c>
      <c r="L81" s="7">
        <v>311.0</v>
      </c>
      <c r="M81" s="7">
        <v>28.0</v>
      </c>
      <c r="N81" s="7">
        <v>62.0</v>
      </c>
      <c r="O81" s="14">
        <v>4.16</v>
      </c>
      <c r="P81" s="6"/>
    </row>
    <row r="82" ht="15.75" customHeight="1">
      <c r="A82" s="9" t="s">
        <v>106</v>
      </c>
      <c r="B82" s="9" t="s">
        <v>105</v>
      </c>
      <c r="C82" s="10" t="s">
        <v>24</v>
      </c>
      <c r="D82" s="10" t="s">
        <v>31</v>
      </c>
      <c r="E82" s="10" t="s">
        <v>75</v>
      </c>
      <c r="F82" s="12">
        <v>3918.0</v>
      </c>
      <c r="G82" s="12">
        <v>5874.0</v>
      </c>
      <c r="H82" s="12">
        <v>39.0</v>
      </c>
      <c r="I82" s="12">
        <v>5.0</v>
      </c>
      <c r="J82" s="12">
        <v>4.0</v>
      </c>
      <c r="K82" s="12">
        <v>7.0</v>
      </c>
      <c r="L82" s="12">
        <v>341.0</v>
      </c>
      <c r="M82" s="12">
        <v>42.0</v>
      </c>
      <c r="N82" s="12">
        <v>8.0</v>
      </c>
      <c r="O82" s="13">
        <v>1.49</v>
      </c>
      <c r="P82" s="10"/>
    </row>
    <row r="83" ht="15.75" customHeight="1">
      <c r="A83" s="5" t="s">
        <v>108</v>
      </c>
      <c r="B83" s="5" t="s">
        <v>105</v>
      </c>
      <c r="C83" s="6" t="s">
        <v>39</v>
      </c>
      <c r="D83" s="6" t="s">
        <v>66</v>
      </c>
      <c r="E83" s="16" t="s">
        <v>100</v>
      </c>
      <c r="F83" s="7">
        <v>711.0</v>
      </c>
      <c r="G83" s="7">
        <v>941.0</v>
      </c>
      <c r="H83" s="7">
        <v>17.0</v>
      </c>
      <c r="I83" s="7">
        <v>3.0</v>
      </c>
      <c r="J83" s="7">
        <v>1.0</v>
      </c>
      <c r="K83" s="7">
        <v>3.0</v>
      </c>
      <c r="L83" s="7">
        <v>69.0</v>
      </c>
      <c r="M83" s="7">
        <v>39.0</v>
      </c>
      <c r="N83" s="7">
        <v>7.0</v>
      </c>
      <c r="O83" s="14">
        <v>3.98</v>
      </c>
      <c r="P83" s="6"/>
    </row>
    <row r="84" ht="15.75" customHeight="1">
      <c r="A84" s="9" t="s">
        <v>109</v>
      </c>
      <c r="B84" s="9" t="s">
        <v>105</v>
      </c>
      <c r="C84" s="10" t="s">
        <v>24</v>
      </c>
      <c r="D84" s="10" t="s">
        <v>37</v>
      </c>
      <c r="E84" s="11" t="s">
        <v>88</v>
      </c>
      <c r="F84" s="12">
        <v>3090.0</v>
      </c>
      <c r="G84" s="12">
        <v>3565.0</v>
      </c>
      <c r="H84" s="12">
        <v>61.0</v>
      </c>
      <c r="I84" s="12">
        <v>16.0</v>
      </c>
      <c r="J84" s="12">
        <v>7.0</v>
      </c>
      <c r="K84" s="12">
        <v>6.0</v>
      </c>
      <c r="L84" s="12">
        <v>154.0</v>
      </c>
      <c r="M84" s="12">
        <v>127.0</v>
      </c>
      <c r="N84" s="12">
        <v>14.0</v>
      </c>
      <c r="O84" s="15">
        <v>3.26</v>
      </c>
      <c r="P84" s="10"/>
    </row>
    <row r="85" ht="15.75" customHeight="1">
      <c r="A85" s="5" t="s">
        <v>109</v>
      </c>
      <c r="B85" s="5" t="s">
        <v>105</v>
      </c>
      <c r="C85" s="6" t="s">
        <v>39</v>
      </c>
      <c r="D85" s="6" t="s">
        <v>28</v>
      </c>
      <c r="E85" s="6" t="s">
        <v>79</v>
      </c>
      <c r="F85" s="7">
        <v>2867.0</v>
      </c>
      <c r="G85" s="7">
        <v>3914.0</v>
      </c>
      <c r="H85" s="7">
        <v>72.0</v>
      </c>
      <c r="I85" s="7">
        <v>10.0</v>
      </c>
      <c r="J85" s="7">
        <v>11.0</v>
      </c>
      <c r="K85" s="7">
        <v>15.0</v>
      </c>
      <c r="L85" s="7">
        <v>263.0</v>
      </c>
      <c r="M85" s="7">
        <v>138.0</v>
      </c>
      <c r="N85" s="7">
        <v>6.0</v>
      </c>
      <c r="O85" s="14">
        <v>3.95</v>
      </c>
      <c r="P85" s="6"/>
    </row>
    <row r="86" ht="15.75" customHeight="1">
      <c r="A86" s="9" t="s">
        <v>110</v>
      </c>
      <c r="B86" s="9" t="s">
        <v>105</v>
      </c>
      <c r="C86" s="10" t="s">
        <v>39</v>
      </c>
      <c r="D86" s="10" t="s">
        <v>37</v>
      </c>
      <c r="E86" s="11" t="s">
        <v>88</v>
      </c>
      <c r="F86" s="12">
        <v>1050.0</v>
      </c>
      <c r="G86" s="12">
        <v>1393.0</v>
      </c>
      <c r="H86" s="12">
        <v>18.0</v>
      </c>
      <c r="I86" s="12">
        <v>3.0</v>
      </c>
      <c r="J86" s="12">
        <v>3.0</v>
      </c>
      <c r="K86" s="12">
        <v>2.0</v>
      </c>
      <c r="L86" s="12">
        <v>54.0</v>
      </c>
      <c r="M86" s="12">
        <v>58.0</v>
      </c>
      <c r="N86" s="12">
        <v>0.0</v>
      </c>
      <c r="O86" s="15">
        <v>3.07</v>
      </c>
      <c r="P86" s="10"/>
    </row>
    <row r="87" ht="15.75" customHeight="1">
      <c r="A87" s="5" t="s">
        <v>111</v>
      </c>
      <c r="B87" s="5" t="s">
        <v>105</v>
      </c>
      <c r="C87" s="6" t="s">
        <v>24</v>
      </c>
      <c r="D87" s="6" t="s">
        <v>28</v>
      </c>
      <c r="E87" s="6" t="s">
        <v>112</v>
      </c>
      <c r="F87" s="7">
        <v>6085.0</v>
      </c>
      <c r="G87" s="7">
        <v>8386.0</v>
      </c>
      <c r="H87" s="7">
        <v>135.0</v>
      </c>
      <c r="I87" s="7">
        <v>24.0</v>
      </c>
      <c r="J87" s="7">
        <v>12.0</v>
      </c>
      <c r="K87" s="7">
        <v>18.0</v>
      </c>
      <c r="L87" s="7">
        <v>567.0</v>
      </c>
      <c r="M87" s="7">
        <v>289.0</v>
      </c>
      <c r="N87" s="7">
        <v>25.0</v>
      </c>
      <c r="O87" s="14">
        <v>3.53</v>
      </c>
      <c r="P87" s="6"/>
    </row>
    <row r="88" ht="15.75" customHeight="1">
      <c r="A88" s="9" t="s">
        <v>111</v>
      </c>
      <c r="B88" s="9" t="s">
        <v>105</v>
      </c>
      <c r="C88" s="10" t="s">
        <v>33</v>
      </c>
      <c r="D88" s="10" t="s">
        <v>28</v>
      </c>
      <c r="E88" s="10" t="s">
        <v>112</v>
      </c>
      <c r="F88" s="12">
        <v>9413.0</v>
      </c>
      <c r="G88" s="12">
        <v>12009.0</v>
      </c>
      <c r="H88" s="12">
        <v>399.0</v>
      </c>
      <c r="I88" s="12">
        <v>100.0</v>
      </c>
      <c r="J88" s="12">
        <v>45.0</v>
      </c>
      <c r="K88" s="12">
        <v>41.0</v>
      </c>
      <c r="L88" s="12">
        <v>1013.0</v>
      </c>
      <c r="M88" s="12">
        <v>267.0</v>
      </c>
      <c r="N88" s="12">
        <v>56.0</v>
      </c>
      <c r="O88" s="15">
        <v>7.3</v>
      </c>
      <c r="P88" s="10" t="s">
        <v>44</v>
      </c>
    </row>
    <row r="89" ht="15.75" customHeight="1">
      <c r="A89" s="5" t="s">
        <v>111</v>
      </c>
      <c r="B89" s="5" t="s">
        <v>105</v>
      </c>
      <c r="C89" s="6" t="s">
        <v>39</v>
      </c>
      <c r="D89" s="6" t="s">
        <v>34</v>
      </c>
      <c r="E89" s="16" t="s">
        <v>82</v>
      </c>
      <c r="F89" s="7">
        <v>1724.0</v>
      </c>
      <c r="G89" s="7">
        <v>2736.0</v>
      </c>
      <c r="H89" s="7">
        <v>42.0</v>
      </c>
      <c r="I89" s="7">
        <v>9.0</v>
      </c>
      <c r="J89" s="7">
        <v>3.0</v>
      </c>
      <c r="K89" s="7">
        <v>9.0</v>
      </c>
      <c r="L89" s="7">
        <v>183.0</v>
      </c>
      <c r="M89" s="7">
        <v>40.0</v>
      </c>
      <c r="N89" s="7">
        <v>1.0</v>
      </c>
      <c r="O89" s="14">
        <v>3.84</v>
      </c>
      <c r="P89" s="6"/>
    </row>
    <row r="90" ht="15.75" customHeight="1">
      <c r="A90" s="9" t="s">
        <v>113</v>
      </c>
      <c r="B90" s="9" t="s">
        <v>105</v>
      </c>
      <c r="C90" s="10" t="s">
        <v>27</v>
      </c>
      <c r="D90" s="10" t="s">
        <v>25</v>
      </c>
      <c r="E90" s="10" t="s">
        <v>26</v>
      </c>
      <c r="F90" s="12">
        <v>2003.0</v>
      </c>
      <c r="G90" s="12">
        <v>2770.0</v>
      </c>
      <c r="H90" s="12">
        <v>7.0</v>
      </c>
      <c r="I90" s="12">
        <v>1.0</v>
      </c>
      <c r="J90" s="12">
        <v>0.0</v>
      </c>
      <c r="K90" s="12">
        <v>1.0</v>
      </c>
      <c r="L90" s="12">
        <v>114.0</v>
      </c>
      <c r="M90" s="12">
        <v>62.0</v>
      </c>
      <c r="N90" s="12">
        <v>2.0</v>
      </c>
      <c r="O90" s="18">
        <v>0.67</v>
      </c>
      <c r="P90" s="11" t="s">
        <v>47</v>
      </c>
    </row>
    <row r="91" ht="15.75" customHeight="1">
      <c r="A91" s="5" t="s">
        <v>113</v>
      </c>
      <c r="B91" s="5" t="s">
        <v>105</v>
      </c>
      <c r="C91" s="6" t="s">
        <v>33</v>
      </c>
      <c r="D91" s="6" t="s">
        <v>25</v>
      </c>
      <c r="E91" s="6" t="s">
        <v>46</v>
      </c>
      <c r="F91" s="7">
        <v>2611.0</v>
      </c>
      <c r="G91" s="7">
        <v>4101.0</v>
      </c>
      <c r="H91" s="7">
        <v>58.0</v>
      </c>
      <c r="I91" s="7">
        <v>8.0</v>
      </c>
      <c r="J91" s="7">
        <v>8.0</v>
      </c>
      <c r="K91" s="7">
        <v>4.0</v>
      </c>
      <c r="L91" s="7">
        <v>121.0</v>
      </c>
      <c r="M91" s="7">
        <v>83.0</v>
      </c>
      <c r="N91" s="7">
        <v>15.0</v>
      </c>
      <c r="O91" s="14">
        <v>3.26</v>
      </c>
      <c r="P91" s="6"/>
    </row>
    <row r="92" ht="15.75" customHeight="1">
      <c r="A92" s="9" t="s">
        <v>114</v>
      </c>
      <c r="B92" s="9" t="s">
        <v>115</v>
      </c>
      <c r="C92" s="10" t="s">
        <v>39</v>
      </c>
      <c r="D92" s="10" t="s">
        <v>25</v>
      </c>
      <c r="E92" s="10" t="s">
        <v>116</v>
      </c>
      <c r="F92" s="12">
        <v>329.0</v>
      </c>
      <c r="G92" s="12">
        <v>432.0</v>
      </c>
      <c r="H92" s="12">
        <v>2.0</v>
      </c>
      <c r="I92" s="12">
        <v>0.0</v>
      </c>
      <c r="J92" s="12">
        <v>0.0</v>
      </c>
      <c r="K92" s="12">
        <v>0.0</v>
      </c>
      <c r="L92" s="12">
        <v>23.0</v>
      </c>
      <c r="M92" s="12">
        <v>13.0</v>
      </c>
      <c r="N92" s="12">
        <v>0.0</v>
      </c>
      <c r="O92" s="13">
        <v>1.4</v>
      </c>
      <c r="P92" s="10"/>
    </row>
    <row r="93" ht="15.75" customHeight="1">
      <c r="A93" s="5" t="s">
        <v>114</v>
      </c>
      <c r="B93" s="5" t="s">
        <v>115</v>
      </c>
      <c r="C93" s="6" t="s">
        <v>33</v>
      </c>
      <c r="D93" s="6" t="s">
        <v>25</v>
      </c>
      <c r="E93" s="6" t="s">
        <v>26</v>
      </c>
      <c r="F93" s="7">
        <v>5029.0</v>
      </c>
      <c r="G93" s="7">
        <v>7453.0</v>
      </c>
      <c r="H93" s="7">
        <v>60.0</v>
      </c>
      <c r="I93" s="7">
        <v>13.0</v>
      </c>
      <c r="J93" s="7">
        <v>8.0</v>
      </c>
      <c r="K93" s="7">
        <v>6.0</v>
      </c>
      <c r="L93" s="7">
        <v>415.0</v>
      </c>
      <c r="M93" s="7">
        <v>108.0</v>
      </c>
      <c r="N93" s="7">
        <v>19.0</v>
      </c>
      <c r="O93" s="8">
        <v>2.12</v>
      </c>
      <c r="P93" s="6"/>
    </row>
    <row r="94" ht="15.75" customHeight="1">
      <c r="A94" s="9" t="s">
        <v>117</v>
      </c>
      <c r="B94" s="9" t="s">
        <v>115</v>
      </c>
      <c r="C94" s="10" t="s">
        <v>27</v>
      </c>
      <c r="D94" s="10" t="s">
        <v>66</v>
      </c>
      <c r="E94" s="11" t="s">
        <v>100</v>
      </c>
      <c r="F94" s="12">
        <v>1277.0</v>
      </c>
      <c r="G94" s="12">
        <v>1416.0</v>
      </c>
      <c r="H94" s="12">
        <v>25.0</v>
      </c>
      <c r="I94" s="12">
        <v>5.0</v>
      </c>
      <c r="J94" s="12">
        <v>3.0</v>
      </c>
      <c r="K94" s="12">
        <v>4.0</v>
      </c>
      <c r="L94" s="12">
        <v>93.0</v>
      </c>
      <c r="M94" s="12">
        <v>20.0</v>
      </c>
      <c r="N94" s="12">
        <v>2.0</v>
      </c>
      <c r="O94" s="15">
        <v>3.04</v>
      </c>
      <c r="P94" s="10"/>
    </row>
    <row r="95" ht="15.75" customHeight="1">
      <c r="A95" s="5" t="s">
        <v>117</v>
      </c>
      <c r="B95" s="5" t="s">
        <v>115</v>
      </c>
      <c r="C95" s="6" t="s">
        <v>24</v>
      </c>
      <c r="D95" s="6" t="s">
        <v>25</v>
      </c>
      <c r="E95" s="6" t="s">
        <v>116</v>
      </c>
      <c r="F95" s="7">
        <v>1751.0</v>
      </c>
      <c r="G95" s="7">
        <v>2529.0</v>
      </c>
      <c r="H95" s="7">
        <v>12.0</v>
      </c>
      <c r="I95" s="7">
        <v>1.0</v>
      </c>
      <c r="J95" s="7">
        <v>1.0</v>
      </c>
      <c r="K95" s="7">
        <v>1.0</v>
      </c>
      <c r="L95" s="7">
        <v>81.0</v>
      </c>
      <c r="M95" s="7">
        <v>93.0</v>
      </c>
      <c r="N95" s="7">
        <v>9.0</v>
      </c>
      <c r="O95" s="8">
        <v>1.17</v>
      </c>
      <c r="P95" s="16" t="s">
        <v>47</v>
      </c>
    </row>
    <row r="96" ht="15.75" customHeight="1">
      <c r="A96" s="9" t="s">
        <v>118</v>
      </c>
      <c r="B96" s="9" t="s">
        <v>115</v>
      </c>
      <c r="C96" s="10" t="s">
        <v>33</v>
      </c>
      <c r="D96" s="10" t="s">
        <v>31</v>
      </c>
      <c r="E96" s="10" t="s">
        <v>42</v>
      </c>
      <c r="F96" s="12">
        <v>2925.0</v>
      </c>
      <c r="G96" s="12">
        <v>3963.0</v>
      </c>
      <c r="H96" s="12">
        <v>154.0</v>
      </c>
      <c r="I96" s="12">
        <v>39.0</v>
      </c>
      <c r="J96" s="12">
        <v>27.0</v>
      </c>
      <c r="K96" s="12">
        <v>33.0</v>
      </c>
      <c r="L96" s="12">
        <v>172.0</v>
      </c>
      <c r="M96" s="12">
        <v>50.0</v>
      </c>
      <c r="N96" s="12">
        <v>18.0</v>
      </c>
      <c r="O96" s="15">
        <v>8.82</v>
      </c>
      <c r="P96" s="10"/>
    </row>
    <row r="97" ht="15.75" customHeight="1">
      <c r="A97" s="5" t="s">
        <v>119</v>
      </c>
      <c r="B97" s="5" t="s">
        <v>115</v>
      </c>
      <c r="C97" s="6" t="s">
        <v>24</v>
      </c>
      <c r="D97" s="6" t="s">
        <v>37</v>
      </c>
      <c r="E97" s="16" t="s">
        <v>38</v>
      </c>
      <c r="F97" s="7">
        <v>3416.0</v>
      </c>
      <c r="G97" s="7">
        <v>5046.0</v>
      </c>
      <c r="H97" s="7">
        <v>71.0</v>
      </c>
      <c r="I97" s="7">
        <v>20.0</v>
      </c>
      <c r="J97" s="7">
        <v>10.0</v>
      </c>
      <c r="K97" s="7">
        <v>13.0</v>
      </c>
      <c r="L97" s="7">
        <v>307.0</v>
      </c>
      <c r="M97" s="7">
        <v>181.0</v>
      </c>
      <c r="N97" s="7">
        <v>15.0</v>
      </c>
      <c r="O97" s="14">
        <v>3.41</v>
      </c>
      <c r="P97" s="6"/>
    </row>
    <row r="98" ht="15.75" customHeight="1">
      <c r="A98" s="9" t="s">
        <v>119</v>
      </c>
      <c r="B98" s="9" t="s">
        <v>115</v>
      </c>
      <c r="C98" s="10" t="s">
        <v>39</v>
      </c>
      <c r="D98" s="10" t="s">
        <v>31</v>
      </c>
      <c r="E98" s="10" t="s">
        <v>60</v>
      </c>
      <c r="F98" s="12">
        <v>1404.0</v>
      </c>
      <c r="G98" s="12">
        <v>1987.0</v>
      </c>
      <c r="H98" s="12">
        <v>42.0</v>
      </c>
      <c r="I98" s="12">
        <v>7.0</v>
      </c>
      <c r="J98" s="12">
        <v>3.0</v>
      </c>
      <c r="K98" s="12">
        <v>6.0</v>
      </c>
      <c r="L98" s="12">
        <v>60.0</v>
      </c>
      <c r="M98" s="12">
        <v>39.0</v>
      </c>
      <c r="N98" s="12">
        <v>2.0</v>
      </c>
      <c r="O98" s="15">
        <v>4.8</v>
      </c>
      <c r="P98" s="10"/>
    </row>
    <row r="99" ht="15.75" customHeight="1">
      <c r="A99" s="5" t="s">
        <v>120</v>
      </c>
      <c r="B99" s="5" t="s">
        <v>115</v>
      </c>
      <c r="C99" s="6" t="s">
        <v>24</v>
      </c>
      <c r="D99" s="6" t="s">
        <v>34</v>
      </c>
      <c r="E99" s="16" t="s">
        <v>82</v>
      </c>
      <c r="F99" s="7">
        <v>2763.0</v>
      </c>
      <c r="G99" s="7">
        <v>3805.0</v>
      </c>
      <c r="H99" s="7">
        <v>56.0</v>
      </c>
      <c r="I99" s="7">
        <v>10.0</v>
      </c>
      <c r="J99" s="7">
        <v>8.0</v>
      </c>
      <c r="K99" s="7">
        <v>9.0</v>
      </c>
      <c r="L99" s="7">
        <v>181.0</v>
      </c>
      <c r="M99" s="7">
        <v>93.0</v>
      </c>
      <c r="N99" s="7">
        <v>4.0</v>
      </c>
      <c r="O99" s="8">
        <v>2.97</v>
      </c>
      <c r="P99" s="6"/>
    </row>
    <row r="100" ht="15.75" customHeight="1">
      <c r="A100" s="9" t="s">
        <v>120</v>
      </c>
      <c r="B100" s="9" t="s">
        <v>115</v>
      </c>
      <c r="C100" s="10" t="s">
        <v>27</v>
      </c>
      <c r="D100" s="10" t="s">
        <v>31</v>
      </c>
      <c r="E100" s="10" t="s">
        <v>60</v>
      </c>
      <c r="F100" s="12">
        <v>3791.0</v>
      </c>
      <c r="G100" s="12">
        <v>5757.0</v>
      </c>
      <c r="H100" s="12">
        <v>52.0</v>
      </c>
      <c r="I100" s="12">
        <v>13.0</v>
      </c>
      <c r="J100" s="12">
        <v>4.0</v>
      </c>
      <c r="K100" s="12">
        <v>11.0</v>
      </c>
      <c r="L100" s="12">
        <v>452.0</v>
      </c>
      <c r="M100" s="12">
        <v>137.0</v>
      </c>
      <c r="N100" s="12">
        <v>9.0</v>
      </c>
      <c r="O100" s="13">
        <v>2.49</v>
      </c>
      <c r="P100" s="10"/>
    </row>
    <row r="101" ht="15.75" customHeight="1">
      <c r="A101" s="5" t="s">
        <v>121</v>
      </c>
      <c r="B101" s="5" t="s">
        <v>115</v>
      </c>
      <c r="C101" s="6" t="s">
        <v>27</v>
      </c>
      <c r="D101" s="6" t="s">
        <v>66</v>
      </c>
      <c r="E101" s="6" t="s">
        <v>85</v>
      </c>
      <c r="F101" s="7">
        <v>4257.0</v>
      </c>
      <c r="G101" s="7">
        <v>4794.0</v>
      </c>
      <c r="H101" s="7">
        <v>58.0</v>
      </c>
      <c r="I101" s="7">
        <v>11.0</v>
      </c>
      <c r="J101" s="7">
        <v>8.0</v>
      </c>
      <c r="K101" s="7">
        <v>8.0</v>
      </c>
      <c r="L101" s="7">
        <v>256.0</v>
      </c>
      <c r="M101" s="7">
        <v>223.0</v>
      </c>
      <c r="N101" s="7">
        <v>17.0</v>
      </c>
      <c r="O101" s="8">
        <v>2.31</v>
      </c>
      <c r="P101" s="6"/>
    </row>
    <row r="102" ht="15.75" customHeight="1">
      <c r="A102" s="9" t="s">
        <v>121</v>
      </c>
      <c r="B102" s="9" t="s">
        <v>115</v>
      </c>
      <c r="C102" s="10" t="s">
        <v>33</v>
      </c>
      <c r="D102" s="10" t="s">
        <v>34</v>
      </c>
      <c r="E102" s="10" t="s">
        <v>57</v>
      </c>
      <c r="F102" s="12">
        <v>4180.0</v>
      </c>
      <c r="G102" s="12">
        <v>5815.0</v>
      </c>
      <c r="H102" s="12">
        <v>62.0</v>
      </c>
      <c r="I102" s="12">
        <v>18.0</v>
      </c>
      <c r="J102" s="12">
        <v>10.0</v>
      </c>
      <c r="K102" s="12">
        <v>9.0</v>
      </c>
      <c r="L102" s="12">
        <v>366.0</v>
      </c>
      <c r="M102" s="12">
        <v>237.0</v>
      </c>
      <c r="N102" s="12">
        <v>19.0</v>
      </c>
      <c r="O102" s="13">
        <v>2.47</v>
      </c>
      <c r="P102" s="10"/>
    </row>
    <row r="103" ht="15.75" customHeight="1">
      <c r="A103" s="5" t="s">
        <v>122</v>
      </c>
      <c r="B103" s="5" t="s">
        <v>115</v>
      </c>
      <c r="C103" s="6" t="s">
        <v>27</v>
      </c>
      <c r="D103" s="6" t="s">
        <v>34</v>
      </c>
      <c r="E103" s="16" t="s">
        <v>35</v>
      </c>
      <c r="F103" s="7">
        <v>3511.0</v>
      </c>
      <c r="G103" s="7">
        <v>5463.0</v>
      </c>
      <c r="H103" s="7">
        <v>13.0</v>
      </c>
      <c r="I103" s="7">
        <v>2.0</v>
      </c>
      <c r="J103" s="7">
        <v>1.0</v>
      </c>
      <c r="K103" s="7">
        <v>1.0</v>
      </c>
      <c r="L103" s="7">
        <v>407.0</v>
      </c>
      <c r="M103" s="7">
        <v>95.0</v>
      </c>
      <c r="N103" s="7">
        <v>8.0</v>
      </c>
      <c r="O103" s="17">
        <v>0.58</v>
      </c>
      <c r="P103" s="6"/>
    </row>
    <row r="104" ht="15.75" customHeight="1">
      <c r="A104" s="9" t="s">
        <v>122</v>
      </c>
      <c r="B104" s="9" t="s">
        <v>115</v>
      </c>
      <c r="C104" s="10" t="s">
        <v>24</v>
      </c>
      <c r="D104" s="10" t="s">
        <v>31</v>
      </c>
      <c r="E104" s="10" t="s">
        <v>75</v>
      </c>
      <c r="F104" s="12">
        <v>1922.0</v>
      </c>
      <c r="G104" s="12">
        <v>2398.0</v>
      </c>
      <c r="H104" s="12">
        <v>45.0</v>
      </c>
      <c r="I104" s="12">
        <v>9.0</v>
      </c>
      <c r="J104" s="12">
        <v>7.0</v>
      </c>
      <c r="K104" s="12">
        <v>7.0</v>
      </c>
      <c r="L104" s="12">
        <v>178.0</v>
      </c>
      <c r="M104" s="12">
        <v>103.0</v>
      </c>
      <c r="N104" s="12">
        <v>16.0</v>
      </c>
      <c r="O104" s="15">
        <v>3.77</v>
      </c>
      <c r="P104" s="10"/>
    </row>
    <row r="105" ht="15.75" customHeight="1">
      <c r="A105" s="5" t="s">
        <v>123</v>
      </c>
      <c r="B105" s="5" t="s">
        <v>124</v>
      </c>
      <c r="C105" s="6" t="s">
        <v>33</v>
      </c>
      <c r="D105" s="6" t="s">
        <v>31</v>
      </c>
      <c r="E105" s="6" t="s">
        <v>42</v>
      </c>
      <c r="F105" s="7">
        <v>10100.0</v>
      </c>
      <c r="G105" s="7">
        <v>15195.0</v>
      </c>
      <c r="H105" s="7">
        <v>206.0</v>
      </c>
      <c r="I105" s="7">
        <v>40.0</v>
      </c>
      <c r="J105" s="7">
        <v>32.0</v>
      </c>
      <c r="K105" s="7">
        <v>24.0</v>
      </c>
      <c r="L105" s="7">
        <v>762.0</v>
      </c>
      <c r="M105" s="7">
        <v>244.0</v>
      </c>
      <c r="N105" s="7">
        <v>48.0</v>
      </c>
      <c r="O105" s="14">
        <v>3.33</v>
      </c>
      <c r="P105" s="6" t="s">
        <v>44</v>
      </c>
    </row>
    <row r="106" ht="15.75" customHeight="1">
      <c r="A106" s="9" t="s">
        <v>123</v>
      </c>
      <c r="B106" s="9" t="s">
        <v>124</v>
      </c>
      <c r="C106" s="10" t="s">
        <v>24</v>
      </c>
      <c r="D106" s="10" t="s">
        <v>66</v>
      </c>
      <c r="E106" s="10" t="s">
        <v>67</v>
      </c>
      <c r="F106" s="12">
        <v>3032.0</v>
      </c>
      <c r="G106" s="12">
        <v>4799.0</v>
      </c>
      <c r="H106" s="12">
        <v>100.0</v>
      </c>
      <c r="I106" s="12">
        <v>14.0</v>
      </c>
      <c r="J106" s="12">
        <v>14.0</v>
      </c>
      <c r="K106" s="12">
        <v>15.0</v>
      </c>
      <c r="L106" s="12">
        <v>228.0</v>
      </c>
      <c r="M106" s="12">
        <v>146.0</v>
      </c>
      <c r="N106" s="12">
        <v>26.0</v>
      </c>
      <c r="O106" s="15">
        <v>4.83</v>
      </c>
      <c r="P106" s="11" t="s">
        <v>68</v>
      </c>
    </row>
    <row r="107" ht="15.75" customHeight="1">
      <c r="A107" s="5" t="s">
        <v>125</v>
      </c>
      <c r="B107" s="5" t="s">
        <v>124</v>
      </c>
      <c r="C107" s="6" t="s">
        <v>39</v>
      </c>
      <c r="D107" s="6" t="s">
        <v>28</v>
      </c>
      <c r="E107" s="16" t="s">
        <v>91</v>
      </c>
      <c r="F107" s="7">
        <v>812.0</v>
      </c>
      <c r="G107" s="7">
        <v>994.0</v>
      </c>
      <c r="H107" s="7">
        <v>25.0</v>
      </c>
      <c r="I107" s="7">
        <v>5.0</v>
      </c>
      <c r="J107" s="7">
        <v>2.0</v>
      </c>
      <c r="K107" s="7">
        <v>5.0</v>
      </c>
      <c r="L107" s="7">
        <v>87.0</v>
      </c>
      <c r="M107" s="7">
        <v>19.0</v>
      </c>
      <c r="N107" s="7">
        <v>7.0</v>
      </c>
      <c r="O107" s="14">
        <v>4.79</v>
      </c>
      <c r="P107" s="6"/>
    </row>
    <row r="108" ht="15.75" customHeight="1">
      <c r="A108" s="9" t="s">
        <v>125</v>
      </c>
      <c r="B108" s="9" t="s">
        <v>124</v>
      </c>
      <c r="C108" s="10" t="s">
        <v>24</v>
      </c>
      <c r="D108" s="10" t="s">
        <v>25</v>
      </c>
      <c r="E108" s="10" t="s">
        <v>116</v>
      </c>
      <c r="F108" s="12">
        <v>941.0</v>
      </c>
      <c r="G108" s="12">
        <v>1240.0</v>
      </c>
      <c r="H108" s="12">
        <v>11.0</v>
      </c>
      <c r="I108" s="12">
        <v>2.0</v>
      </c>
      <c r="J108" s="12">
        <v>1.0</v>
      </c>
      <c r="K108" s="12">
        <v>1.0</v>
      </c>
      <c r="L108" s="12">
        <v>41.0</v>
      </c>
      <c r="M108" s="12">
        <v>33.0</v>
      </c>
      <c r="N108" s="12">
        <v>4.0</v>
      </c>
      <c r="O108" s="13">
        <v>2.15</v>
      </c>
      <c r="P108" s="10"/>
    </row>
    <row r="109" ht="15.75" customHeight="1">
      <c r="A109" s="5" t="s">
        <v>126</v>
      </c>
      <c r="B109" s="5" t="s">
        <v>124</v>
      </c>
      <c r="C109" s="6" t="s">
        <v>27</v>
      </c>
      <c r="D109" s="6" t="s">
        <v>25</v>
      </c>
      <c r="E109" s="16" t="s">
        <v>55</v>
      </c>
      <c r="F109" s="7">
        <v>1947.0</v>
      </c>
      <c r="G109" s="7">
        <v>2774.0</v>
      </c>
      <c r="H109" s="7">
        <v>11.0</v>
      </c>
      <c r="I109" s="7">
        <v>2.0</v>
      </c>
      <c r="J109" s="7">
        <v>2.0</v>
      </c>
      <c r="K109" s="7">
        <v>2.0</v>
      </c>
      <c r="L109" s="7">
        <v>99.0</v>
      </c>
      <c r="M109" s="7">
        <v>88.0</v>
      </c>
      <c r="N109" s="7">
        <v>3.0</v>
      </c>
      <c r="O109" s="8">
        <v>1.06</v>
      </c>
      <c r="P109" s="16" t="s">
        <v>47</v>
      </c>
    </row>
    <row r="110" ht="15.75" customHeight="1">
      <c r="A110" s="9" t="s">
        <v>126</v>
      </c>
      <c r="B110" s="9" t="s">
        <v>124</v>
      </c>
      <c r="C110" s="10" t="s">
        <v>24</v>
      </c>
      <c r="D110" s="10" t="s">
        <v>31</v>
      </c>
      <c r="E110" s="10" t="s">
        <v>60</v>
      </c>
      <c r="F110" s="12">
        <v>1218.0</v>
      </c>
      <c r="G110" s="12">
        <v>1471.0</v>
      </c>
      <c r="H110" s="12">
        <v>13.0</v>
      </c>
      <c r="I110" s="12">
        <v>2.0</v>
      </c>
      <c r="J110" s="12">
        <v>1.0</v>
      </c>
      <c r="K110" s="12">
        <v>2.0</v>
      </c>
      <c r="L110" s="12">
        <v>71.0</v>
      </c>
      <c r="M110" s="12">
        <v>19.0</v>
      </c>
      <c r="N110" s="12">
        <v>8.0</v>
      </c>
      <c r="O110" s="13">
        <v>1.62</v>
      </c>
      <c r="P110" s="10"/>
    </row>
    <row r="111" ht="15.75" customHeight="1">
      <c r="A111" s="5" t="s">
        <v>126</v>
      </c>
      <c r="B111" s="5" t="s">
        <v>124</v>
      </c>
      <c r="C111" s="6" t="s">
        <v>39</v>
      </c>
      <c r="D111" s="6" t="s">
        <v>34</v>
      </c>
      <c r="E111" s="16" t="s">
        <v>65</v>
      </c>
      <c r="F111" s="7">
        <v>1084.0</v>
      </c>
      <c r="G111" s="7">
        <v>1252.0</v>
      </c>
      <c r="H111" s="7">
        <v>28.0</v>
      </c>
      <c r="I111" s="7">
        <v>3.0</v>
      </c>
      <c r="J111" s="7">
        <v>3.0</v>
      </c>
      <c r="K111" s="7">
        <v>3.0</v>
      </c>
      <c r="L111" s="7">
        <v>55.0</v>
      </c>
      <c r="M111" s="7">
        <v>34.0</v>
      </c>
      <c r="N111" s="7">
        <v>4.0</v>
      </c>
      <c r="O111" s="14">
        <v>4.11</v>
      </c>
      <c r="P111" s="6"/>
    </row>
    <row r="112" ht="15.75" customHeight="1">
      <c r="A112" s="9" t="s">
        <v>127</v>
      </c>
      <c r="B112" s="9" t="s">
        <v>124</v>
      </c>
      <c r="C112" s="10" t="s">
        <v>39</v>
      </c>
      <c r="D112" s="10" t="s">
        <v>31</v>
      </c>
      <c r="E112" s="10" t="s">
        <v>42</v>
      </c>
      <c r="F112" s="12">
        <v>599.0</v>
      </c>
      <c r="G112" s="12">
        <v>950.0</v>
      </c>
      <c r="H112" s="12">
        <v>6.0</v>
      </c>
      <c r="I112" s="12">
        <v>1.0</v>
      </c>
      <c r="J112" s="12">
        <v>1.0</v>
      </c>
      <c r="K112" s="12">
        <v>1.0</v>
      </c>
      <c r="L112" s="12">
        <v>42.0</v>
      </c>
      <c r="M112" s="12">
        <v>20.0</v>
      </c>
      <c r="N112" s="12">
        <v>5.0</v>
      </c>
      <c r="O112" s="13">
        <v>1.95</v>
      </c>
      <c r="P112" s="10"/>
    </row>
    <row r="113" ht="15.75" customHeight="1">
      <c r="A113" s="5" t="s">
        <v>128</v>
      </c>
      <c r="B113" s="5" t="s">
        <v>124</v>
      </c>
      <c r="C113" s="6" t="s">
        <v>27</v>
      </c>
      <c r="D113" s="6" t="s">
        <v>25</v>
      </c>
      <c r="E113" s="16" t="s">
        <v>55</v>
      </c>
      <c r="F113" s="7">
        <v>1047.0</v>
      </c>
      <c r="G113" s="7">
        <v>1535.0</v>
      </c>
      <c r="H113" s="7">
        <v>5.0</v>
      </c>
      <c r="I113" s="7">
        <v>1.0</v>
      </c>
      <c r="J113" s="7">
        <v>0.0</v>
      </c>
      <c r="K113" s="7">
        <v>0.0</v>
      </c>
      <c r="L113" s="7">
        <v>87.0</v>
      </c>
      <c r="M113" s="7">
        <v>53.0</v>
      </c>
      <c r="N113" s="7">
        <v>1.0</v>
      </c>
      <c r="O113" s="17">
        <v>0.9</v>
      </c>
      <c r="P113" s="16" t="s">
        <v>47</v>
      </c>
    </row>
    <row r="114" ht="15.75" customHeight="1">
      <c r="A114" s="9" t="s">
        <v>128</v>
      </c>
      <c r="B114" s="9" t="s">
        <v>124</v>
      </c>
      <c r="C114" s="10" t="s">
        <v>39</v>
      </c>
      <c r="D114" s="10" t="s">
        <v>28</v>
      </c>
      <c r="E114" s="10" t="s">
        <v>79</v>
      </c>
      <c r="F114" s="12">
        <v>2833.0</v>
      </c>
      <c r="G114" s="12">
        <v>3794.0</v>
      </c>
      <c r="H114" s="12">
        <v>43.0</v>
      </c>
      <c r="I114" s="12">
        <v>11.0</v>
      </c>
      <c r="J114" s="12">
        <v>8.0</v>
      </c>
      <c r="K114" s="12">
        <v>4.0</v>
      </c>
      <c r="L114" s="12">
        <v>159.0</v>
      </c>
      <c r="M114" s="12">
        <v>140.0</v>
      </c>
      <c r="N114" s="12">
        <v>8.0</v>
      </c>
      <c r="O114" s="13">
        <v>2.74</v>
      </c>
      <c r="P114" s="10"/>
    </row>
    <row r="115" ht="15.75" customHeight="1">
      <c r="A115" s="5" t="s">
        <v>128</v>
      </c>
      <c r="B115" s="5" t="s">
        <v>124</v>
      </c>
      <c r="C115" s="6" t="s">
        <v>24</v>
      </c>
      <c r="D115" s="6" t="s">
        <v>25</v>
      </c>
      <c r="E115" s="6" t="s">
        <v>48</v>
      </c>
      <c r="F115" s="7">
        <v>1894.0</v>
      </c>
      <c r="G115" s="7">
        <v>3020.0</v>
      </c>
      <c r="H115" s="7">
        <v>15.0</v>
      </c>
      <c r="I115" s="7">
        <v>4.0</v>
      </c>
      <c r="J115" s="7">
        <v>1.0</v>
      </c>
      <c r="K115" s="7">
        <v>2.0</v>
      </c>
      <c r="L115" s="7">
        <v>194.0</v>
      </c>
      <c r="M115" s="7">
        <v>100.0</v>
      </c>
      <c r="N115" s="7">
        <v>5.0</v>
      </c>
      <c r="O115" s="8">
        <v>1.47</v>
      </c>
      <c r="P115" s="6"/>
    </row>
    <row r="116" ht="15.75" customHeight="1">
      <c r="A116" s="9" t="s">
        <v>129</v>
      </c>
      <c r="B116" s="9" t="s">
        <v>124</v>
      </c>
      <c r="C116" s="10" t="s">
        <v>27</v>
      </c>
      <c r="D116" s="10" t="s">
        <v>66</v>
      </c>
      <c r="E116" s="11" t="s">
        <v>130</v>
      </c>
      <c r="F116" s="12">
        <v>4558.0</v>
      </c>
      <c r="G116" s="12">
        <v>7052.0</v>
      </c>
      <c r="H116" s="12">
        <v>53.0</v>
      </c>
      <c r="I116" s="12">
        <v>9.0</v>
      </c>
      <c r="J116" s="12">
        <v>6.0</v>
      </c>
      <c r="K116" s="12">
        <v>10.0</v>
      </c>
      <c r="L116" s="12">
        <v>371.0</v>
      </c>
      <c r="M116" s="12">
        <v>228.0</v>
      </c>
      <c r="N116" s="12">
        <v>13.0</v>
      </c>
      <c r="O116" s="13">
        <v>1.69</v>
      </c>
      <c r="P116" s="10"/>
    </row>
    <row r="117" ht="15.75" customHeight="1">
      <c r="A117" s="5" t="s">
        <v>131</v>
      </c>
      <c r="B117" s="5" t="s">
        <v>124</v>
      </c>
      <c r="C117" s="6" t="s">
        <v>33</v>
      </c>
      <c r="D117" s="6" t="s">
        <v>34</v>
      </c>
      <c r="E117" s="16" t="s">
        <v>94</v>
      </c>
      <c r="F117" s="7">
        <v>2200.0</v>
      </c>
      <c r="G117" s="7">
        <v>2780.0</v>
      </c>
      <c r="H117" s="7">
        <v>45.0</v>
      </c>
      <c r="I117" s="7">
        <v>11.0</v>
      </c>
      <c r="J117" s="7">
        <v>4.0</v>
      </c>
      <c r="K117" s="7">
        <v>6.0</v>
      </c>
      <c r="L117" s="7">
        <v>166.0</v>
      </c>
      <c r="M117" s="7">
        <v>101.0</v>
      </c>
      <c r="N117" s="7">
        <v>45.0</v>
      </c>
      <c r="O117" s="14">
        <v>3.37</v>
      </c>
      <c r="P117" s="6"/>
    </row>
    <row r="118" ht="15.75" customHeight="1">
      <c r="A118" s="9" t="s">
        <v>132</v>
      </c>
      <c r="B118" s="9" t="s">
        <v>133</v>
      </c>
      <c r="C118" s="10" t="s">
        <v>39</v>
      </c>
      <c r="D118" s="10" t="s">
        <v>34</v>
      </c>
      <c r="E118" s="10" t="s">
        <v>134</v>
      </c>
      <c r="F118" s="12">
        <v>453.0</v>
      </c>
      <c r="G118" s="12">
        <v>642.0</v>
      </c>
      <c r="H118" s="12">
        <v>7.0</v>
      </c>
      <c r="I118" s="12">
        <v>1.0</v>
      </c>
      <c r="J118" s="12">
        <v>1.0</v>
      </c>
      <c r="K118" s="12">
        <v>0.0</v>
      </c>
      <c r="L118" s="12">
        <v>40.0</v>
      </c>
      <c r="M118" s="12">
        <v>22.0</v>
      </c>
      <c r="N118" s="12">
        <v>0.0</v>
      </c>
      <c r="O118" s="13">
        <v>2.44</v>
      </c>
      <c r="P118" s="10"/>
    </row>
    <row r="119" ht="15.75" customHeight="1">
      <c r="A119" s="5" t="s">
        <v>132</v>
      </c>
      <c r="B119" s="5" t="s">
        <v>133</v>
      </c>
      <c r="C119" s="6" t="s">
        <v>33</v>
      </c>
      <c r="D119" s="6" t="s">
        <v>31</v>
      </c>
      <c r="E119" s="6" t="s">
        <v>42</v>
      </c>
      <c r="F119" s="7">
        <v>5680.0</v>
      </c>
      <c r="G119" s="7">
        <v>7335.0</v>
      </c>
      <c r="H119" s="7">
        <v>229.0</v>
      </c>
      <c r="I119" s="7">
        <v>52.0</v>
      </c>
      <c r="J119" s="7">
        <v>41.0</v>
      </c>
      <c r="K119" s="7">
        <v>31.0</v>
      </c>
      <c r="L119" s="7">
        <v>573.0</v>
      </c>
      <c r="M119" s="7">
        <v>219.0</v>
      </c>
      <c r="N119" s="7">
        <v>36.0</v>
      </c>
      <c r="O119" s="14">
        <v>6.31</v>
      </c>
      <c r="P119" s="6"/>
    </row>
    <row r="120" ht="15.75" customHeight="1">
      <c r="A120" s="9" t="s">
        <v>135</v>
      </c>
      <c r="B120" s="9" t="s">
        <v>133</v>
      </c>
      <c r="C120" s="10" t="s">
        <v>27</v>
      </c>
      <c r="D120" s="10" t="s">
        <v>37</v>
      </c>
      <c r="E120" s="10" t="s">
        <v>62</v>
      </c>
      <c r="F120" s="12">
        <v>3266.0</v>
      </c>
      <c r="G120" s="12">
        <v>4407.0</v>
      </c>
      <c r="H120" s="12">
        <v>24.0</v>
      </c>
      <c r="I120" s="12">
        <v>4.0</v>
      </c>
      <c r="J120" s="12">
        <v>2.0</v>
      </c>
      <c r="K120" s="12">
        <v>3.0</v>
      </c>
      <c r="L120" s="12">
        <v>390.0</v>
      </c>
      <c r="M120" s="12">
        <v>79.0</v>
      </c>
      <c r="N120" s="12">
        <v>12.0</v>
      </c>
      <c r="O120" s="13">
        <v>1.22</v>
      </c>
      <c r="P120" s="10"/>
    </row>
    <row r="121" ht="15.75" customHeight="1">
      <c r="A121" s="5" t="s">
        <v>135</v>
      </c>
      <c r="B121" s="5" t="s">
        <v>133</v>
      </c>
      <c r="C121" s="6" t="s">
        <v>24</v>
      </c>
      <c r="D121" s="6" t="s">
        <v>66</v>
      </c>
      <c r="E121" s="6" t="s">
        <v>136</v>
      </c>
      <c r="F121" s="7">
        <v>2343.0</v>
      </c>
      <c r="G121" s="7">
        <v>2664.0</v>
      </c>
      <c r="H121" s="7">
        <v>33.0</v>
      </c>
      <c r="I121" s="7">
        <v>9.0</v>
      </c>
      <c r="J121" s="7">
        <v>5.0</v>
      </c>
      <c r="K121" s="7">
        <v>7.0</v>
      </c>
      <c r="L121" s="7">
        <v>278.0</v>
      </c>
      <c r="M121" s="7">
        <v>101.0</v>
      </c>
      <c r="N121" s="7">
        <v>24.0</v>
      </c>
      <c r="O121" s="8">
        <v>2.19</v>
      </c>
      <c r="P121" s="6"/>
    </row>
    <row r="122" ht="15.75" customHeight="1">
      <c r="A122" s="9" t="s">
        <v>137</v>
      </c>
      <c r="B122" s="9" t="s">
        <v>133</v>
      </c>
      <c r="C122" s="10" t="s">
        <v>27</v>
      </c>
      <c r="D122" s="10" t="s">
        <v>37</v>
      </c>
      <c r="E122" s="11" t="s">
        <v>38</v>
      </c>
      <c r="F122" s="12">
        <v>3178.0</v>
      </c>
      <c r="G122" s="12">
        <v>4608.0</v>
      </c>
      <c r="H122" s="12">
        <v>15.0</v>
      </c>
      <c r="I122" s="12">
        <v>2.0</v>
      </c>
      <c r="J122" s="12">
        <v>3.0</v>
      </c>
      <c r="K122" s="12">
        <v>3.0</v>
      </c>
      <c r="L122" s="12">
        <v>187.0</v>
      </c>
      <c r="M122" s="12">
        <v>110.0</v>
      </c>
      <c r="N122" s="12">
        <v>5.0</v>
      </c>
      <c r="O122" s="18">
        <v>0.84</v>
      </c>
      <c r="P122" s="10"/>
    </row>
    <row r="123" ht="15.75" customHeight="1">
      <c r="A123" s="5" t="s">
        <v>137</v>
      </c>
      <c r="B123" s="5" t="s">
        <v>133</v>
      </c>
      <c r="C123" s="6" t="s">
        <v>33</v>
      </c>
      <c r="D123" s="6" t="s">
        <v>34</v>
      </c>
      <c r="E123" s="16" t="s">
        <v>82</v>
      </c>
      <c r="F123" s="7">
        <v>8215.0</v>
      </c>
      <c r="G123" s="7">
        <v>11302.0</v>
      </c>
      <c r="H123" s="7">
        <v>240.0</v>
      </c>
      <c r="I123" s="7">
        <v>47.0</v>
      </c>
      <c r="J123" s="7">
        <v>51.0</v>
      </c>
      <c r="K123" s="7">
        <v>52.0</v>
      </c>
      <c r="L123" s="7">
        <v>674.0</v>
      </c>
      <c r="M123" s="7">
        <v>398.0</v>
      </c>
      <c r="N123" s="7">
        <v>41.0</v>
      </c>
      <c r="O123" s="14">
        <v>5.22</v>
      </c>
      <c r="P123" s="6" t="s">
        <v>44</v>
      </c>
    </row>
    <row r="124" ht="15.75" customHeight="1">
      <c r="A124" s="9" t="s">
        <v>138</v>
      </c>
      <c r="B124" s="9" t="s">
        <v>133</v>
      </c>
      <c r="C124" s="10" t="s">
        <v>27</v>
      </c>
      <c r="D124" s="10" t="s">
        <v>34</v>
      </c>
      <c r="E124" s="11" t="s">
        <v>82</v>
      </c>
      <c r="F124" s="12">
        <v>1992.0</v>
      </c>
      <c r="G124" s="12">
        <v>2706.0</v>
      </c>
      <c r="H124" s="12">
        <v>8.0</v>
      </c>
      <c r="I124" s="12">
        <v>1.0</v>
      </c>
      <c r="J124" s="12">
        <v>1.0</v>
      </c>
      <c r="K124" s="12">
        <v>1.0</v>
      </c>
      <c r="L124" s="12">
        <v>100.0</v>
      </c>
      <c r="M124" s="12">
        <v>70.0</v>
      </c>
      <c r="N124" s="12">
        <v>9.0</v>
      </c>
      <c r="O124" s="18">
        <v>0.64</v>
      </c>
      <c r="P124" s="10"/>
    </row>
    <row r="125" ht="15.75" customHeight="1">
      <c r="A125" s="5" t="s">
        <v>139</v>
      </c>
      <c r="B125" s="5" t="s">
        <v>133</v>
      </c>
      <c r="C125" s="6" t="s">
        <v>33</v>
      </c>
      <c r="D125" s="6" t="s">
        <v>31</v>
      </c>
      <c r="E125" s="6" t="s">
        <v>42</v>
      </c>
      <c r="F125" s="7">
        <v>4142.0</v>
      </c>
      <c r="G125" s="7">
        <v>6518.0</v>
      </c>
      <c r="H125" s="7">
        <v>145.0</v>
      </c>
      <c r="I125" s="7">
        <v>21.0</v>
      </c>
      <c r="J125" s="7">
        <v>15.0</v>
      </c>
      <c r="K125" s="7">
        <v>35.0</v>
      </c>
      <c r="L125" s="7">
        <v>256.0</v>
      </c>
      <c r="M125" s="7">
        <v>170.0</v>
      </c>
      <c r="N125" s="7">
        <v>41.0</v>
      </c>
      <c r="O125" s="14">
        <v>5.95</v>
      </c>
      <c r="P125" s="6"/>
    </row>
    <row r="126" ht="15.75" customHeight="1">
      <c r="A126" s="9" t="s">
        <v>139</v>
      </c>
      <c r="B126" s="9" t="s">
        <v>133</v>
      </c>
      <c r="C126" s="10" t="s">
        <v>39</v>
      </c>
      <c r="D126" s="10" t="s">
        <v>31</v>
      </c>
      <c r="E126" s="10" t="s">
        <v>42</v>
      </c>
      <c r="F126" s="12">
        <v>774.0</v>
      </c>
      <c r="G126" s="12">
        <v>1215.0</v>
      </c>
      <c r="H126" s="12">
        <v>11.0</v>
      </c>
      <c r="I126" s="12">
        <v>2.0</v>
      </c>
      <c r="J126" s="12">
        <v>1.0</v>
      </c>
      <c r="K126" s="12">
        <v>2.0</v>
      </c>
      <c r="L126" s="12">
        <v>65.0</v>
      </c>
      <c r="M126" s="12">
        <v>39.0</v>
      </c>
      <c r="N126" s="12">
        <v>0.0</v>
      </c>
      <c r="O126" s="13">
        <v>2.28</v>
      </c>
      <c r="P126" s="10"/>
    </row>
    <row r="127" ht="15.75" customHeight="1">
      <c r="A127" s="5" t="s">
        <v>139</v>
      </c>
      <c r="B127" s="5" t="s">
        <v>133</v>
      </c>
      <c r="C127" s="6" t="s">
        <v>24</v>
      </c>
      <c r="D127" s="6" t="s">
        <v>31</v>
      </c>
      <c r="E127" s="6" t="s">
        <v>42</v>
      </c>
      <c r="F127" s="7">
        <v>5113.0</v>
      </c>
      <c r="G127" s="7">
        <v>6300.0</v>
      </c>
      <c r="H127" s="7">
        <v>59.0</v>
      </c>
      <c r="I127" s="7">
        <v>13.0</v>
      </c>
      <c r="J127" s="7">
        <v>4.0</v>
      </c>
      <c r="K127" s="7">
        <v>12.0</v>
      </c>
      <c r="L127" s="7">
        <v>427.0</v>
      </c>
      <c r="M127" s="7">
        <v>215.0</v>
      </c>
      <c r="N127" s="7">
        <v>9.0</v>
      </c>
      <c r="O127" s="8">
        <v>1.83</v>
      </c>
      <c r="P127" s="6"/>
    </row>
    <row r="128" ht="15.75" customHeight="1">
      <c r="A128" s="9" t="s">
        <v>140</v>
      </c>
      <c r="B128" s="9" t="s">
        <v>133</v>
      </c>
      <c r="C128" s="10" t="s">
        <v>39</v>
      </c>
      <c r="D128" s="10" t="s">
        <v>25</v>
      </c>
      <c r="E128" s="11" t="s">
        <v>55</v>
      </c>
      <c r="F128" s="12">
        <v>933.0</v>
      </c>
      <c r="G128" s="12">
        <v>1100.0</v>
      </c>
      <c r="H128" s="12">
        <v>9.0</v>
      </c>
      <c r="I128" s="12">
        <v>1.0</v>
      </c>
      <c r="J128" s="12">
        <v>0.0</v>
      </c>
      <c r="K128" s="12">
        <v>2.0</v>
      </c>
      <c r="L128" s="12">
        <v>61.0</v>
      </c>
      <c r="M128" s="12">
        <v>55.0</v>
      </c>
      <c r="N128" s="12">
        <v>1.0</v>
      </c>
      <c r="O128" s="13">
        <v>1.65</v>
      </c>
      <c r="P128" s="10"/>
    </row>
    <row r="129" ht="15.75" customHeight="1">
      <c r="A129" s="5" t="s">
        <v>141</v>
      </c>
      <c r="B129" s="5" t="s">
        <v>133</v>
      </c>
      <c r="C129" s="6" t="s">
        <v>27</v>
      </c>
      <c r="D129" s="6" t="s">
        <v>34</v>
      </c>
      <c r="E129" s="16" t="s">
        <v>94</v>
      </c>
      <c r="F129" s="7">
        <v>1351.0</v>
      </c>
      <c r="G129" s="7">
        <v>1568.0</v>
      </c>
      <c r="H129" s="7">
        <v>8.0</v>
      </c>
      <c r="I129" s="7">
        <v>1.0</v>
      </c>
      <c r="J129" s="7">
        <v>1.0</v>
      </c>
      <c r="K129" s="7">
        <v>2.0</v>
      </c>
      <c r="L129" s="7">
        <v>99.0</v>
      </c>
      <c r="M129" s="7">
        <v>78.0</v>
      </c>
      <c r="N129" s="7">
        <v>10.0</v>
      </c>
      <c r="O129" s="8">
        <v>1.13</v>
      </c>
      <c r="P129" s="6"/>
    </row>
    <row r="130" ht="15.75" customHeight="1">
      <c r="A130" s="9" t="s">
        <v>141</v>
      </c>
      <c r="B130" s="9" t="s">
        <v>133</v>
      </c>
      <c r="C130" s="10" t="s">
        <v>39</v>
      </c>
      <c r="D130" s="10" t="s">
        <v>28</v>
      </c>
      <c r="E130" s="11" t="s">
        <v>91</v>
      </c>
      <c r="F130" s="12">
        <v>2210.0</v>
      </c>
      <c r="G130" s="12">
        <v>2640.0</v>
      </c>
      <c r="H130" s="12">
        <v>40.0</v>
      </c>
      <c r="I130" s="12">
        <v>7.0</v>
      </c>
      <c r="J130" s="12">
        <v>6.0</v>
      </c>
      <c r="K130" s="12">
        <v>5.0</v>
      </c>
      <c r="L130" s="12">
        <v>104.0</v>
      </c>
      <c r="M130" s="12">
        <v>65.0</v>
      </c>
      <c r="N130" s="12">
        <v>4.0</v>
      </c>
      <c r="O130" s="13">
        <v>2.63</v>
      </c>
      <c r="P130" s="10"/>
    </row>
    <row r="131" ht="15.75" customHeight="1">
      <c r="A131" s="5" t="s">
        <v>142</v>
      </c>
      <c r="B131" s="5" t="s">
        <v>143</v>
      </c>
      <c r="C131" s="6" t="s">
        <v>27</v>
      </c>
      <c r="D131" s="6" t="s">
        <v>31</v>
      </c>
      <c r="E131" s="6" t="s">
        <v>32</v>
      </c>
      <c r="F131" s="7">
        <v>2641.0</v>
      </c>
      <c r="G131" s="7">
        <v>4070.0</v>
      </c>
      <c r="H131" s="7">
        <v>29.0</v>
      </c>
      <c r="I131" s="7">
        <v>6.0</v>
      </c>
      <c r="J131" s="7">
        <v>5.0</v>
      </c>
      <c r="K131" s="7">
        <v>4.0</v>
      </c>
      <c r="L131" s="7">
        <v>292.0</v>
      </c>
      <c r="M131" s="7">
        <v>122.0</v>
      </c>
      <c r="N131" s="7">
        <v>11.0</v>
      </c>
      <c r="O131" s="8">
        <v>1.84</v>
      </c>
      <c r="P131" s="6"/>
    </row>
    <row r="132" ht="15.75" customHeight="1">
      <c r="A132" s="9" t="s">
        <v>144</v>
      </c>
      <c r="B132" s="9" t="s">
        <v>143</v>
      </c>
      <c r="C132" s="10" t="s">
        <v>39</v>
      </c>
      <c r="D132" s="10" t="s">
        <v>34</v>
      </c>
      <c r="E132" s="10" t="s">
        <v>57</v>
      </c>
      <c r="F132" s="12">
        <v>928.0</v>
      </c>
      <c r="G132" s="12">
        <v>1154.0</v>
      </c>
      <c r="H132" s="12">
        <v>14.0</v>
      </c>
      <c r="I132" s="12">
        <v>3.0</v>
      </c>
      <c r="J132" s="12">
        <v>2.0</v>
      </c>
      <c r="K132" s="12">
        <v>2.0</v>
      </c>
      <c r="L132" s="12">
        <v>82.0</v>
      </c>
      <c r="M132" s="12">
        <v>15.0</v>
      </c>
      <c r="N132" s="12">
        <v>0.0</v>
      </c>
      <c r="O132" s="13">
        <v>2.51</v>
      </c>
      <c r="P132" s="10"/>
    </row>
    <row r="133" ht="15.75" customHeight="1">
      <c r="A133" s="5" t="s">
        <v>144</v>
      </c>
      <c r="B133" s="5" t="s">
        <v>143</v>
      </c>
      <c r="C133" s="6" t="s">
        <v>24</v>
      </c>
      <c r="D133" s="6" t="s">
        <v>25</v>
      </c>
      <c r="E133" s="6" t="s">
        <v>48</v>
      </c>
      <c r="F133" s="7">
        <v>2004.0</v>
      </c>
      <c r="G133" s="7">
        <v>2570.0</v>
      </c>
      <c r="H133" s="7">
        <v>10.0</v>
      </c>
      <c r="I133" s="7">
        <v>1.0</v>
      </c>
      <c r="J133" s="7">
        <v>0.0</v>
      </c>
      <c r="K133" s="7">
        <v>0.0</v>
      </c>
      <c r="L133" s="7">
        <v>194.0</v>
      </c>
      <c r="M133" s="7">
        <v>100.0</v>
      </c>
      <c r="N133" s="7">
        <v>7.0</v>
      </c>
      <c r="O133" s="17">
        <v>0.8</v>
      </c>
      <c r="P133" s="16" t="s">
        <v>47</v>
      </c>
    </row>
    <row r="134" ht="15.75" customHeight="1">
      <c r="A134" s="9" t="s">
        <v>145</v>
      </c>
      <c r="B134" s="9" t="s">
        <v>143</v>
      </c>
      <c r="C134" s="10" t="s">
        <v>33</v>
      </c>
      <c r="D134" s="10" t="s">
        <v>25</v>
      </c>
      <c r="E134" s="10" t="s">
        <v>116</v>
      </c>
      <c r="F134" s="12">
        <v>2579.0</v>
      </c>
      <c r="G134" s="12">
        <v>3343.0</v>
      </c>
      <c r="H134" s="12">
        <v>58.0</v>
      </c>
      <c r="I134" s="12">
        <v>11.0</v>
      </c>
      <c r="J134" s="12">
        <v>7.0</v>
      </c>
      <c r="K134" s="12">
        <v>8.0</v>
      </c>
      <c r="L134" s="12">
        <v>204.0</v>
      </c>
      <c r="M134" s="12">
        <v>98.0</v>
      </c>
      <c r="N134" s="12">
        <v>16.0</v>
      </c>
      <c r="O134" s="15">
        <v>3.34</v>
      </c>
      <c r="P134" s="10"/>
    </row>
    <row r="135" ht="15.75" customHeight="1">
      <c r="A135" s="5" t="s">
        <v>146</v>
      </c>
      <c r="B135" s="5" t="s">
        <v>143</v>
      </c>
      <c r="C135" s="6" t="s">
        <v>27</v>
      </c>
      <c r="D135" s="6" t="s">
        <v>34</v>
      </c>
      <c r="E135" s="16" t="s">
        <v>82</v>
      </c>
      <c r="F135" s="7">
        <v>2329.0</v>
      </c>
      <c r="G135" s="7">
        <v>3489.0</v>
      </c>
      <c r="H135" s="7">
        <v>23.0</v>
      </c>
      <c r="I135" s="7">
        <v>2.0</v>
      </c>
      <c r="J135" s="7">
        <v>2.0</v>
      </c>
      <c r="K135" s="7">
        <v>5.0</v>
      </c>
      <c r="L135" s="7">
        <v>239.0</v>
      </c>
      <c r="M135" s="7">
        <v>113.0</v>
      </c>
      <c r="N135" s="7">
        <v>6.0</v>
      </c>
      <c r="O135" s="8">
        <v>1.56</v>
      </c>
      <c r="P135" s="6"/>
    </row>
    <row r="136" ht="15.75" customHeight="1">
      <c r="A136" s="9" t="s">
        <v>147</v>
      </c>
      <c r="B136" s="9" t="s">
        <v>143</v>
      </c>
      <c r="C136" s="10" t="s">
        <v>39</v>
      </c>
      <c r="D136" s="10" t="s">
        <v>66</v>
      </c>
      <c r="E136" s="11" t="s">
        <v>148</v>
      </c>
      <c r="F136" s="12">
        <v>2213.0</v>
      </c>
      <c r="G136" s="12">
        <v>3365.0</v>
      </c>
      <c r="H136" s="12">
        <v>41.0</v>
      </c>
      <c r="I136" s="12">
        <v>5.0</v>
      </c>
      <c r="J136" s="12">
        <v>7.0</v>
      </c>
      <c r="K136" s="12">
        <v>3.0</v>
      </c>
      <c r="L136" s="12">
        <v>91.0</v>
      </c>
      <c r="M136" s="12">
        <v>56.0</v>
      </c>
      <c r="N136" s="12">
        <v>1.0</v>
      </c>
      <c r="O136" s="13">
        <v>2.9</v>
      </c>
      <c r="P136" s="10"/>
    </row>
    <row r="137" ht="15.75" customHeight="1">
      <c r="A137" s="5" t="s">
        <v>147</v>
      </c>
      <c r="B137" s="5" t="s">
        <v>143</v>
      </c>
      <c r="C137" s="6" t="s">
        <v>24</v>
      </c>
      <c r="D137" s="6" t="s">
        <v>34</v>
      </c>
      <c r="E137" s="16" t="s">
        <v>82</v>
      </c>
      <c r="F137" s="7">
        <v>2922.0</v>
      </c>
      <c r="G137" s="7">
        <v>4107.0</v>
      </c>
      <c r="H137" s="7">
        <v>41.0</v>
      </c>
      <c r="I137" s="7">
        <v>9.0</v>
      </c>
      <c r="J137" s="7">
        <v>6.0</v>
      </c>
      <c r="K137" s="7">
        <v>6.0</v>
      </c>
      <c r="L137" s="7">
        <v>247.0</v>
      </c>
      <c r="M137" s="7">
        <v>175.0</v>
      </c>
      <c r="N137" s="7">
        <v>10.0</v>
      </c>
      <c r="O137" s="8">
        <v>2.13</v>
      </c>
      <c r="P137" s="6"/>
    </row>
    <row r="138" ht="15.75" customHeight="1">
      <c r="A138" s="9" t="s">
        <v>149</v>
      </c>
      <c r="B138" s="9" t="s">
        <v>143</v>
      </c>
      <c r="C138" s="10" t="s">
        <v>33</v>
      </c>
      <c r="D138" s="10" t="s">
        <v>37</v>
      </c>
      <c r="E138" s="10" t="s">
        <v>150</v>
      </c>
      <c r="F138" s="12">
        <v>7099.0</v>
      </c>
      <c r="G138" s="12">
        <v>10207.0</v>
      </c>
      <c r="H138" s="12">
        <v>366.0</v>
      </c>
      <c r="I138" s="12">
        <v>90.0</v>
      </c>
      <c r="J138" s="12">
        <v>38.0</v>
      </c>
      <c r="K138" s="12">
        <v>55.0</v>
      </c>
      <c r="L138" s="12">
        <v>827.0</v>
      </c>
      <c r="M138" s="12">
        <v>170.0</v>
      </c>
      <c r="N138" s="12">
        <v>22.0</v>
      </c>
      <c r="O138" s="15">
        <v>7.93</v>
      </c>
      <c r="P138" s="10" t="s">
        <v>44</v>
      </c>
    </row>
    <row r="139" ht="15.75" customHeight="1">
      <c r="A139" s="5" t="s">
        <v>149</v>
      </c>
      <c r="B139" s="5" t="s">
        <v>143</v>
      </c>
      <c r="C139" s="6" t="s">
        <v>39</v>
      </c>
      <c r="D139" s="6" t="s">
        <v>37</v>
      </c>
      <c r="E139" s="6" t="s">
        <v>150</v>
      </c>
      <c r="F139" s="7">
        <v>1893.0</v>
      </c>
      <c r="G139" s="7">
        <v>2749.0</v>
      </c>
      <c r="H139" s="7">
        <v>47.0</v>
      </c>
      <c r="I139" s="7">
        <v>9.0</v>
      </c>
      <c r="J139" s="7">
        <v>6.0</v>
      </c>
      <c r="K139" s="7">
        <v>11.0</v>
      </c>
      <c r="L139" s="7">
        <v>185.0</v>
      </c>
      <c r="M139" s="7">
        <v>46.0</v>
      </c>
      <c r="N139" s="7">
        <v>4.0</v>
      </c>
      <c r="O139" s="14">
        <v>4.07</v>
      </c>
      <c r="P139" s="6"/>
    </row>
    <row r="140" ht="15.75" customHeight="1">
      <c r="A140" s="9" t="s">
        <v>151</v>
      </c>
      <c r="B140" s="9" t="s">
        <v>143</v>
      </c>
      <c r="C140" s="10" t="s">
        <v>39</v>
      </c>
      <c r="D140" s="10" t="s">
        <v>37</v>
      </c>
      <c r="E140" s="10" t="s">
        <v>52</v>
      </c>
      <c r="F140" s="12">
        <v>956.0</v>
      </c>
      <c r="G140" s="12">
        <v>1189.0</v>
      </c>
      <c r="H140" s="12">
        <v>23.0</v>
      </c>
      <c r="I140" s="12">
        <v>4.0</v>
      </c>
      <c r="J140" s="12">
        <v>2.0</v>
      </c>
      <c r="K140" s="12">
        <v>3.0</v>
      </c>
      <c r="L140" s="12">
        <v>53.0</v>
      </c>
      <c r="M140" s="12">
        <v>35.0</v>
      </c>
      <c r="N140" s="12">
        <v>7.0</v>
      </c>
      <c r="O140" s="15">
        <v>4.16</v>
      </c>
      <c r="P140" s="10"/>
    </row>
    <row r="141" ht="15.75" customHeight="1">
      <c r="A141" s="5" t="s">
        <v>151</v>
      </c>
      <c r="B141" s="5" t="s">
        <v>143</v>
      </c>
      <c r="C141" s="6" t="s">
        <v>33</v>
      </c>
      <c r="D141" s="6" t="s">
        <v>34</v>
      </c>
      <c r="E141" s="6" t="s">
        <v>57</v>
      </c>
      <c r="F141" s="7">
        <v>2257.0</v>
      </c>
      <c r="G141" s="7">
        <v>3318.0</v>
      </c>
      <c r="H141" s="7">
        <v>37.0</v>
      </c>
      <c r="I141" s="7">
        <v>11.0</v>
      </c>
      <c r="J141" s="7">
        <v>4.0</v>
      </c>
      <c r="K141" s="7">
        <v>4.0</v>
      </c>
      <c r="L141" s="7">
        <v>108.0</v>
      </c>
      <c r="M141" s="7">
        <v>59.0</v>
      </c>
      <c r="N141" s="7">
        <v>26.0</v>
      </c>
      <c r="O141" s="14">
        <v>3.05</v>
      </c>
      <c r="P141" s="6"/>
    </row>
    <row r="142" ht="15.75" customHeight="1">
      <c r="A142" s="9" t="s">
        <v>152</v>
      </c>
      <c r="B142" s="9" t="s">
        <v>153</v>
      </c>
      <c r="C142" s="10" t="s">
        <v>33</v>
      </c>
      <c r="D142" s="10" t="s">
        <v>37</v>
      </c>
      <c r="E142" s="10" t="s">
        <v>52</v>
      </c>
      <c r="F142" s="12">
        <v>5686.0</v>
      </c>
      <c r="G142" s="12">
        <v>8912.0</v>
      </c>
      <c r="H142" s="12">
        <v>282.0</v>
      </c>
      <c r="I142" s="12">
        <v>45.0</v>
      </c>
      <c r="J142" s="12">
        <v>53.0</v>
      </c>
      <c r="K142" s="12">
        <v>37.0</v>
      </c>
      <c r="L142" s="12">
        <v>521.0</v>
      </c>
      <c r="M142" s="12">
        <v>314.0</v>
      </c>
      <c r="N142" s="12">
        <v>11.0</v>
      </c>
      <c r="O142" s="15">
        <v>8.0</v>
      </c>
      <c r="P142" s="10"/>
    </row>
    <row r="143" ht="15.75" customHeight="1">
      <c r="A143" s="5" t="s">
        <v>152</v>
      </c>
      <c r="B143" s="5" t="s">
        <v>153</v>
      </c>
      <c r="C143" s="6" t="s">
        <v>24</v>
      </c>
      <c r="D143" s="6" t="s">
        <v>34</v>
      </c>
      <c r="E143" s="16" t="s">
        <v>65</v>
      </c>
      <c r="F143" s="7">
        <v>3886.0</v>
      </c>
      <c r="G143" s="7">
        <v>5926.0</v>
      </c>
      <c r="H143" s="7">
        <v>26.0</v>
      </c>
      <c r="I143" s="7">
        <v>4.0</v>
      </c>
      <c r="J143" s="7">
        <v>4.0</v>
      </c>
      <c r="K143" s="7">
        <v>5.0</v>
      </c>
      <c r="L143" s="7">
        <v>166.0</v>
      </c>
      <c r="M143" s="7">
        <v>201.0</v>
      </c>
      <c r="N143" s="7">
        <v>16.0</v>
      </c>
      <c r="O143" s="17">
        <v>0.98</v>
      </c>
      <c r="P143" s="6"/>
    </row>
    <row r="144" ht="15.75" customHeight="1">
      <c r="A144" s="9" t="s">
        <v>154</v>
      </c>
      <c r="B144" s="9" t="s">
        <v>153</v>
      </c>
      <c r="C144" s="10" t="s">
        <v>27</v>
      </c>
      <c r="D144" s="10" t="s">
        <v>37</v>
      </c>
      <c r="E144" s="10" t="s">
        <v>62</v>
      </c>
      <c r="F144" s="12">
        <v>1788.0</v>
      </c>
      <c r="G144" s="12">
        <v>2505.0</v>
      </c>
      <c r="H144" s="12">
        <v>23.0</v>
      </c>
      <c r="I144" s="12">
        <v>4.0</v>
      </c>
      <c r="J144" s="12">
        <v>3.0</v>
      </c>
      <c r="K144" s="12">
        <v>3.0</v>
      </c>
      <c r="L144" s="12">
        <v>198.0</v>
      </c>
      <c r="M144" s="12">
        <v>29.0</v>
      </c>
      <c r="N144" s="12">
        <v>7.0</v>
      </c>
      <c r="O144" s="13">
        <v>2.21</v>
      </c>
      <c r="P144" s="10"/>
    </row>
    <row r="145" ht="15.75" customHeight="1">
      <c r="A145" s="5" t="s">
        <v>155</v>
      </c>
      <c r="B145" s="5" t="s">
        <v>153</v>
      </c>
      <c r="C145" s="6" t="s">
        <v>24</v>
      </c>
      <c r="D145" s="6" t="s">
        <v>25</v>
      </c>
      <c r="E145" s="6" t="s">
        <v>46</v>
      </c>
      <c r="F145" s="7">
        <v>1748.0</v>
      </c>
      <c r="G145" s="7">
        <v>2147.0</v>
      </c>
      <c r="H145" s="7">
        <v>9.0</v>
      </c>
      <c r="I145" s="7">
        <v>2.0</v>
      </c>
      <c r="J145" s="7">
        <v>1.0</v>
      </c>
      <c r="K145" s="7">
        <v>1.0</v>
      </c>
      <c r="L145" s="7">
        <v>94.0</v>
      </c>
      <c r="M145" s="7">
        <v>92.0</v>
      </c>
      <c r="N145" s="7">
        <v>11.0</v>
      </c>
      <c r="O145" s="17">
        <v>0.87</v>
      </c>
      <c r="P145" s="16" t="s">
        <v>156</v>
      </c>
    </row>
    <row r="146" ht="15.75" customHeight="1">
      <c r="A146" s="9" t="s">
        <v>157</v>
      </c>
      <c r="B146" s="9" t="s">
        <v>153</v>
      </c>
      <c r="C146" s="10" t="s">
        <v>27</v>
      </c>
      <c r="D146" s="10" t="s">
        <v>34</v>
      </c>
      <c r="E146" s="10" t="s">
        <v>57</v>
      </c>
      <c r="F146" s="12">
        <v>3467.0</v>
      </c>
      <c r="G146" s="12">
        <v>4641.0</v>
      </c>
      <c r="H146" s="12">
        <v>35.0</v>
      </c>
      <c r="I146" s="12">
        <v>7.0</v>
      </c>
      <c r="J146" s="12">
        <v>5.0</v>
      </c>
      <c r="K146" s="12">
        <v>4.0</v>
      </c>
      <c r="L146" s="12">
        <v>230.0</v>
      </c>
      <c r="M146" s="12">
        <v>135.0</v>
      </c>
      <c r="N146" s="12">
        <v>6.0</v>
      </c>
      <c r="O146" s="13">
        <v>1.88</v>
      </c>
      <c r="P146" s="10"/>
    </row>
    <row r="147" ht="15.75" customHeight="1">
      <c r="A147" s="5" t="s">
        <v>157</v>
      </c>
      <c r="B147" s="5" t="s">
        <v>153</v>
      </c>
      <c r="C147" s="6" t="s">
        <v>24</v>
      </c>
      <c r="D147" s="6" t="s">
        <v>25</v>
      </c>
      <c r="E147" s="6" t="s">
        <v>48</v>
      </c>
      <c r="F147" s="7">
        <v>2354.0</v>
      </c>
      <c r="G147" s="7">
        <v>2662.0</v>
      </c>
      <c r="H147" s="7">
        <v>10.0</v>
      </c>
      <c r="I147" s="7">
        <v>2.0</v>
      </c>
      <c r="J147" s="7">
        <v>1.0</v>
      </c>
      <c r="K147" s="7">
        <v>2.0</v>
      </c>
      <c r="L147" s="7">
        <v>226.0</v>
      </c>
      <c r="M147" s="7">
        <v>60.0</v>
      </c>
      <c r="N147" s="7">
        <v>2.0</v>
      </c>
      <c r="O147" s="17">
        <v>0.76</v>
      </c>
      <c r="P147" s="16" t="s">
        <v>158</v>
      </c>
    </row>
    <row r="148" ht="15.75" customHeight="1">
      <c r="A148" s="9" t="s">
        <v>157</v>
      </c>
      <c r="B148" s="9" t="s">
        <v>153</v>
      </c>
      <c r="C148" s="10" t="s">
        <v>33</v>
      </c>
      <c r="D148" s="10" t="s">
        <v>37</v>
      </c>
      <c r="E148" s="10" t="s">
        <v>150</v>
      </c>
      <c r="F148" s="12">
        <v>5286.0</v>
      </c>
      <c r="G148" s="12">
        <v>6398.0</v>
      </c>
      <c r="H148" s="12">
        <v>280.0</v>
      </c>
      <c r="I148" s="12">
        <v>56.0</v>
      </c>
      <c r="J148" s="12">
        <v>53.0</v>
      </c>
      <c r="K148" s="12">
        <v>39.0</v>
      </c>
      <c r="L148" s="12">
        <v>508.0</v>
      </c>
      <c r="M148" s="12">
        <v>294.0</v>
      </c>
      <c r="N148" s="12">
        <v>45.0</v>
      </c>
      <c r="O148" s="15">
        <v>8.55</v>
      </c>
      <c r="P148" s="10"/>
    </row>
    <row r="149" ht="15.75" customHeight="1">
      <c r="A149" s="5" t="s">
        <v>159</v>
      </c>
      <c r="B149" s="5" t="s">
        <v>153</v>
      </c>
      <c r="C149" s="6" t="s">
        <v>33</v>
      </c>
      <c r="D149" s="6" t="s">
        <v>66</v>
      </c>
      <c r="E149" s="6" t="s">
        <v>67</v>
      </c>
      <c r="F149" s="7">
        <v>12040.0</v>
      </c>
      <c r="G149" s="7">
        <v>13714.0</v>
      </c>
      <c r="H149" s="7">
        <v>543.0</v>
      </c>
      <c r="I149" s="7">
        <v>130.0</v>
      </c>
      <c r="J149" s="7">
        <v>82.0</v>
      </c>
      <c r="K149" s="7">
        <v>104.0</v>
      </c>
      <c r="L149" s="7">
        <v>625.0</v>
      </c>
      <c r="M149" s="7">
        <v>317.0</v>
      </c>
      <c r="N149" s="7">
        <v>46.0</v>
      </c>
      <c r="O149" s="14">
        <v>8.08</v>
      </c>
      <c r="P149" s="16" t="s">
        <v>160</v>
      </c>
    </row>
    <row r="150" ht="15.75" customHeight="1">
      <c r="A150" s="9" t="s">
        <v>159</v>
      </c>
      <c r="B150" s="9" t="s">
        <v>153</v>
      </c>
      <c r="C150" s="10" t="s">
        <v>24</v>
      </c>
      <c r="D150" s="10" t="s">
        <v>31</v>
      </c>
      <c r="E150" s="10" t="s">
        <v>75</v>
      </c>
      <c r="F150" s="12">
        <v>4833.0</v>
      </c>
      <c r="G150" s="12">
        <v>6497.0</v>
      </c>
      <c r="H150" s="12">
        <v>123.0</v>
      </c>
      <c r="I150" s="12">
        <v>17.0</v>
      </c>
      <c r="J150" s="12">
        <v>11.0</v>
      </c>
      <c r="K150" s="12">
        <v>18.0</v>
      </c>
      <c r="L150" s="12">
        <v>411.0</v>
      </c>
      <c r="M150" s="12">
        <v>183.0</v>
      </c>
      <c r="N150" s="12">
        <v>17.0</v>
      </c>
      <c r="O150" s="15">
        <v>4.14</v>
      </c>
      <c r="P150" s="10"/>
    </row>
    <row r="151" ht="15.75" customHeight="1">
      <c r="A151" s="5" t="s">
        <v>159</v>
      </c>
      <c r="B151" s="5" t="s">
        <v>153</v>
      </c>
      <c r="C151" s="6" t="s">
        <v>27</v>
      </c>
      <c r="D151" s="6" t="s">
        <v>25</v>
      </c>
      <c r="E151" s="16" t="s">
        <v>161</v>
      </c>
      <c r="F151" s="7">
        <v>1140.0</v>
      </c>
      <c r="G151" s="7">
        <v>1719.0</v>
      </c>
      <c r="H151" s="7">
        <v>7.0</v>
      </c>
      <c r="I151" s="7">
        <v>0.0</v>
      </c>
      <c r="J151" s="7">
        <v>0.0</v>
      </c>
      <c r="K151" s="7">
        <v>0.0</v>
      </c>
      <c r="L151" s="7">
        <v>136.0</v>
      </c>
      <c r="M151" s="7">
        <v>64.0</v>
      </c>
      <c r="N151" s="7">
        <v>1.0</v>
      </c>
      <c r="O151" s="8">
        <v>1.01</v>
      </c>
      <c r="P151" s="16" t="s">
        <v>158</v>
      </c>
    </row>
    <row r="152" ht="15.75" customHeight="1">
      <c r="A152" s="9" t="s">
        <v>162</v>
      </c>
      <c r="B152" s="9" t="s">
        <v>153</v>
      </c>
      <c r="C152" s="10" t="s">
        <v>24</v>
      </c>
      <c r="D152" s="10" t="s">
        <v>31</v>
      </c>
      <c r="E152" s="10" t="s">
        <v>75</v>
      </c>
      <c r="F152" s="12">
        <v>5086.0</v>
      </c>
      <c r="G152" s="12">
        <v>8082.0</v>
      </c>
      <c r="H152" s="12">
        <v>102.0</v>
      </c>
      <c r="I152" s="12">
        <v>29.0</v>
      </c>
      <c r="J152" s="12">
        <v>12.0</v>
      </c>
      <c r="K152" s="12">
        <v>22.0</v>
      </c>
      <c r="L152" s="12">
        <v>572.0</v>
      </c>
      <c r="M152" s="12">
        <v>146.0</v>
      </c>
      <c r="N152" s="12">
        <v>18.0</v>
      </c>
      <c r="O152" s="15">
        <v>3.29</v>
      </c>
      <c r="P152" s="10"/>
    </row>
    <row r="153" ht="15.75" customHeight="1">
      <c r="A153" s="5" t="s">
        <v>162</v>
      </c>
      <c r="B153" s="5" t="s">
        <v>153</v>
      </c>
      <c r="C153" s="6" t="s">
        <v>33</v>
      </c>
      <c r="D153" s="6" t="s">
        <v>34</v>
      </c>
      <c r="E153" s="16" t="s">
        <v>65</v>
      </c>
      <c r="F153" s="7">
        <v>2461.0</v>
      </c>
      <c r="G153" s="7">
        <v>3765.0</v>
      </c>
      <c r="H153" s="7">
        <v>39.0</v>
      </c>
      <c r="I153" s="7">
        <v>6.0</v>
      </c>
      <c r="J153" s="7">
        <v>3.0</v>
      </c>
      <c r="K153" s="7">
        <v>8.0</v>
      </c>
      <c r="L153" s="7">
        <v>262.0</v>
      </c>
      <c r="M153" s="7">
        <v>117.0</v>
      </c>
      <c r="N153" s="7">
        <v>48.0</v>
      </c>
      <c r="O153" s="8">
        <v>2.34</v>
      </c>
      <c r="P153" s="6"/>
    </row>
    <row r="154" ht="15.75" customHeight="1">
      <c r="A154" s="9" t="s">
        <v>162</v>
      </c>
      <c r="B154" s="9" t="s">
        <v>153</v>
      </c>
      <c r="C154" s="10" t="s">
        <v>27</v>
      </c>
      <c r="D154" s="10" t="s">
        <v>66</v>
      </c>
      <c r="E154" s="11" t="s">
        <v>100</v>
      </c>
      <c r="F154" s="12">
        <v>3628.0</v>
      </c>
      <c r="G154" s="12">
        <v>4955.0</v>
      </c>
      <c r="H154" s="12">
        <v>59.0</v>
      </c>
      <c r="I154" s="12">
        <v>11.0</v>
      </c>
      <c r="J154" s="12">
        <v>6.0</v>
      </c>
      <c r="K154" s="12">
        <v>14.0</v>
      </c>
      <c r="L154" s="12">
        <v>355.0</v>
      </c>
      <c r="M154" s="12">
        <v>56.0</v>
      </c>
      <c r="N154" s="12">
        <v>14.0</v>
      </c>
      <c r="O154" s="13">
        <v>2.79</v>
      </c>
      <c r="P154" s="10"/>
    </row>
    <row r="155" ht="15.75" customHeight="1">
      <c r="A155" s="5" t="s">
        <v>163</v>
      </c>
      <c r="B155" s="5" t="s">
        <v>153</v>
      </c>
      <c r="C155" s="6" t="s">
        <v>24</v>
      </c>
      <c r="D155" s="6" t="s">
        <v>25</v>
      </c>
      <c r="E155" s="16" t="s">
        <v>55</v>
      </c>
      <c r="F155" s="7">
        <v>2098.0</v>
      </c>
      <c r="G155" s="7">
        <v>2776.0</v>
      </c>
      <c r="H155" s="7">
        <v>23.0</v>
      </c>
      <c r="I155" s="7">
        <v>3.0</v>
      </c>
      <c r="J155" s="7">
        <v>1.0</v>
      </c>
      <c r="K155" s="7">
        <v>3.0</v>
      </c>
      <c r="L155" s="7">
        <v>174.0</v>
      </c>
      <c r="M155" s="7">
        <v>100.0</v>
      </c>
      <c r="N155" s="7">
        <v>10.0</v>
      </c>
      <c r="O155" s="8">
        <v>1.69</v>
      </c>
      <c r="P155" s="6"/>
    </row>
    <row r="156" ht="15.75" customHeight="1">
      <c r="A156" s="9" t="s">
        <v>163</v>
      </c>
      <c r="B156" s="9" t="s">
        <v>153</v>
      </c>
      <c r="C156" s="10" t="s">
        <v>39</v>
      </c>
      <c r="D156" s="10" t="s">
        <v>31</v>
      </c>
      <c r="E156" s="10" t="s">
        <v>32</v>
      </c>
      <c r="F156" s="12">
        <v>911.0</v>
      </c>
      <c r="G156" s="12">
        <v>1419.0</v>
      </c>
      <c r="H156" s="12">
        <v>22.0</v>
      </c>
      <c r="I156" s="12">
        <v>5.0</v>
      </c>
      <c r="J156" s="12">
        <v>3.0</v>
      </c>
      <c r="K156" s="12">
        <v>2.0</v>
      </c>
      <c r="L156" s="12">
        <v>100.0</v>
      </c>
      <c r="M156" s="12">
        <v>54.0</v>
      </c>
      <c r="N156" s="12">
        <v>4.0</v>
      </c>
      <c r="O156" s="15">
        <v>3.94</v>
      </c>
      <c r="P156" s="10"/>
    </row>
    <row r="157" ht="15.75" customHeight="1">
      <c r="A157" s="5" t="s">
        <v>164</v>
      </c>
      <c r="B157" s="5" t="s">
        <v>165</v>
      </c>
      <c r="C157" s="6" t="s">
        <v>27</v>
      </c>
      <c r="D157" s="6" t="s">
        <v>34</v>
      </c>
      <c r="E157" s="16" t="s">
        <v>65</v>
      </c>
      <c r="F157" s="7">
        <v>3175.0</v>
      </c>
      <c r="G157" s="7">
        <v>4939.0</v>
      </c>
      <c r="H157" s="7">
        <v>27.0</v>
      </c>
      <c r="I157" s="7">
        <v>5.0</v>
      </c>
      <c r="J157" s="7">
        <v>5.0</v>
      </c>
      <c r="K157" s="7">
        <v>6.0</v>
      </c>
      <c r="L157" s="7">
        <v>297.0</v>
      </c>
      <c r="M157" s="7">
        <v>156.0</v>
      </c>
      <c r="N157" s="7">
        <v>4.0</v>
      </c>
      <c r="O157" s="8">
        <v>1.4</v>
      </c>
      <c r="P157" s="6"/>
    </row>
    <row r="158" ht="15.75" customHeight="1">
      <c r="A158" s="9" t="s">
        <v>164</v>
      </c>
      <c r="B158" s="9" t="s">
        <v>165</v>
      </c>
      <c r="C158" s="10" t="s">
        <v>24</v>
      </c>
      <c r="D158" s="10" t="s">
        <v>66</v>
      </c>
      <c r="E158" s="10" t="s">
        <v>72</v>
      </c>
      <c r="F158" s="12">
        <v>3437.0</v>
      </c>
      <c r="G158" s="12">
        <v>4096.0</v>
      </c>
      <c r="H158" s="12">
        <v>75.0</v>
      </c>
      <c r="I158" s="12">
        <v>13.0</v>
      </c>
      <c r="J158" s="12">
        <v>14.0</v>
      </c>
      <c r="K158" s="12">
        <v>8.0</v>
      </c>
      <c r="L158" s="12">
        <v>264.0</v>
      </c>
      <c r="M158" s="12">
        <v>44.0</v>
      </c>
      <c r="N158" s="12">
        <v>15.0</v>
      </c>
      <c r="O158" s="15">
        <v>3.76</v>
      </c>
      <c r="P158" s="10"/>
    </row>
    <row r="159" ht="15.75" customHeight="1">
      <c r="A159" s="5" t="s">
        <v>166</v>
      </c>
      <c r="B159" s="5" t="s">
        <v>165</v>
      </c>
      <c r="C159" s="6" t="s">
        <v>33</v>
      </c>
      <c r="D159" s="6" t="s">
        <v>25</v>
      </c>
      <c r="E159" s="6" t="s">
        <v>26</v>
      </c>
      <c r="F159" s="7">
        <v>2643.0</v>
      </c>
      <c r="G159" s="7">
        <v>3011.0</v>
      </c>
      <c r="H159" s="7">
        <v>43.0</v>
      </c>
      <c r="I159" s="7">
        <v>9.0</v>
      </c>
      <c r="J159" s="7">
        <v>7.0</v>
      </c>
      <c r="K159" s="7">
        <v>3.0</v>
      </c>
      <c r="L159" s="7">
        <v>185.0</v>
      </c>
      <c r="M159" s="7">
        <v>106.0</v>
      </c>
      <c r="N159" s="7">
        <v>4.0</v>
      </c>
      <c r="O159" s="8">
        <v>2.72</v>
      </c>
      <c r="P159" s="6"/>
    </row>
    <row r="160" ht="15.75" customHeight="1">
      <c r="A160" s="9" t="s">
        <v>166</v>
      </c>
      <c r="B160" s="9" t="s">
        <v>165</v>
      </c>
      <c r="C160" s="10" t="s">
        <v>39</v>
      </c>
      <c r="D160" s="10" t="s">
        <v>31</v>
      </c>
      <c r="E160" s="10" t="s">
        <v>43</v>
      </c>
      <c r="F160" s="12">
        <v>1941.0</v>
      </c>
      <c r="G160" s="12">
        <v>2677.0</v>
      </c>
      <c r="H160" s="12">
        <v>46.0</v>
      </c>
      <c r="I160" s="12">
        <v>7.0</v>
      </c>
      <c r="J160" s="12">
        <v>8.0</v>
      </c>
      <c r="K160" s="12">
        <v>3.0</v>
      </c>
      <c r="L160" s="12">
        <v>223.0</v>
      </c>
      <c r="M160" s="12">
        <v>112.0</v>
      </c>
      <c r="N160" s="12">
        <v>0.0</v>
      </c>
      <c r="O160" s="15">
        <v>3.56</v>
      </c>
      <c r="P160" s="10"/>
    </row>
    <row r="161" ht="15.75" customHeight="1">
      <c r="A161" s="5" t="s">
        <v>167</v>
      </c>
      <c r="B161" s="5" t="s">
        <v>165</v>
      </c>
      <c r="C161" s="6" t="s">
        <v>39</v>
      </c>
      <c r="D161" s="6" t="s">
        <v>66</v>
      </c>
      <c r="E161" s="6" t="s">
        <v>72</v>
      </c>
      <c r="F161" s="7">
        <v>2030.0</v>
      </c>
      <c r="G161" s="7">
        <v>3020.0</v>
      </c>
      <c r="H161" s="7">
        <v>51.0</v>
      </c>
      <c r="I161" s="7">
        <v>9.0</v>
      </c>
      <c r="J161" s="7">
        <v>5.0</v>
      </c>
      <c r="K161" s="7">
        <v>8.0</v>
      </c>
      <c r="L161" s="7">
        <v>161.0</v>
      </c>
      <c r="M161" s="7">
        <v>30.0</v>
      </c>
      <c r="N161" s="7">
        <v>10.0</v>
      </c>
      <c r="O161" s="14">
        <v>4.08</v>
      </c>
      <c r="P161" s="16" t="s">
        <v>68</v>
      </c>
    </row>
    <row r="162" ht="15.75" customHeight="1">
      <c r="A162" s="9" t="s">
        <v>167</v>
      </c>
      <c r="B162" s="9" t="s">
        <v>165</v>
      </c>
      <c r="C162" s="10" t="s">
        <v>24</v>
      </c>
      <c r="D162" s="10" t="s">
        <v>66</v>
      </c>
      <c r="E162" s="10" t="s">
        <v>85</v>
      </c>
      <c r="F162" s="12">
        <v>7529.0</v>
      </c>
      <c r="G162" s="12">
        <v>9677.0</v>
      </c>
      <c r="H162" s="12">
        <v>154.0</v>
      </c>
      <c r="I162" s="12">
        <v>24.0</v>
      </c>
      <c r="J162" s="12">
        <v>14.0</v>
      </c>
      <c r="K162" s="12">
        <v>18.0</v>
      </c>
      <c r="L162" s="12">
        <v>864.0</v>
      </c>
      <c r="M162" s="12">
        <v>293.0</v>
      </c>
      <c r="N162" s="12">
        <v>15.0</v>
      </c>
      <c r="O162" s="15">
        <v>3.23</v>
      </c>
      <c r="P162" s="10"/>
    </row>
    <row r="163" ht="15.75" customHeight="1">
      <c r="A163" s="5" t="s">
        <v>167</v>
      </c>
      <c r="B163" s="5" t="s">
        <v>165</v>
      </c>
      <c r="C163" s="6" t="s">
        <v>27</v>
      </c>
      <c r="D163" s="6" t="s">
        <v>31</v>
      </c>
      <c r="E163" s="6" t="s">
        <v>32</v>
      </c>
      <c r="F163" s="7">
        <v>1677.0</v>
      </c>
      <c r="G163" s="7">
        <v>2322.0</v>
      </c>
      <c r="H163" s="7">
        <v>10.0</v>
      </c>
      <c r="I163" s="7">
        <v>2.0</v>
      </c>
      <c r="J163" s="7">
        <v>1.0</v>
      </c>
      <c r="K163" s="7">
        <v>2.0</v>
      </c>
      <c r="L163" s="7">
        <v>132.0</v>
      </c>
      <c r="M163" s="7">
        <v>77.0</v>
      </c>
      <c r="N163" s="7">
        <v>10.0</v>
      </c>
      <c r="O163" s="8">
        <v>1.04</v>
      </c>
      <c r="P163" s="6"/>
    </row>
    <row r="164" ht="15.75" customHeight="1">
      <c r="A164" s="9" t="s">
        <v>168</v>
      </c>
      <c r="B164" s="9" t="s">
        <v>165</v>
      </c>
      <c r="C164" s="10" t="s">
        <v>27</v>
      </c>
      <c r="D164" s="10" t="s">
        <v>31</v>
      </c>
      <c r="E164" s="10" t="s">
        <v>43</v>
      </c>
      <c r="F164" s="12">
        <v>2617.0</v>
      </c>
      <c r="G164" s="12">
        <v>4078.0</v>
      </c>
      <c r="H164" s="12">
        <v>27.0</v>
      </c>
      <c r="I164" s="12">
        <v>3.0</v>
      </c>
      <c r="J164" s="12">
        <v>2.0</v>
      </c>
      <c r="K164" s="12">
        <v>5.0</v>
      </c>
      <c r="L164" s="12">
        <v>302.0</v>
      </c>
      <c r="M164" s="12">
        <v>113.0</v>
      </c>
      <c r="N164" s="12">
        <v>11.0</v>
      </c>
      <c r="O164" s="13">
        <v>1.62</v>
      </c>
      <c r="P164" s="10"/>
    </row>
    <row r="165" ht="15.75" customHeight="1">
      <c r="A165" s="5" t="s">
        <v>168</v>
      </c>
      <c r="B165" s="5" t="s">
        <v>165</v>
      </c>
      <c r="C165" s="6" t="s">
        <v>24</v>
      </c>
      <c r="D165" s="6" t="s">
        <v>66</v>
      </c>
      <c r="E165" s="16" t="s">
        <v>100</v>
      </c>
      <c r="F165" s="7">
        <v>2981.0</v>
      </c>
      <c r="G165" s="7">
        <v>4333.0</v>
      </c>
      <c r="H165" s="7">
        <v>27.0</v>
      </c>
      <c r="I165" s="7">
        <v>5.0</v>
      </c>
      <c r="J165" s="7">
        <v>4.0</v>
      </c>
      <c r="K165" s="7">
        <v>5.0</v>
      </c>
      <c r="L165" s="7">
        <v>266.0</v>
      </c>
      <c r="M165" s="7">
        <v>101.0</v>
      </c>
      <c r="N165" s="7">
        <v>17.0</v>
      </c>
      <c r="O165" s="8">
        <v>1.48</v>
      </c>
      <c r="P165" s="6"/>
    </row>
    <row r="166" ht="15.75" customHeight="1">
      <c r="A166" s="9" t="s">
        <v>169</v>
      </c>
      <c r="B166" s="9" t="s">
        <v>165</v>
      </c>
      <c r="C166" s="10" t="s">
        <v>39</v>
      </c>
      <c r="D166" s="10" t="s">
        <v>31</v>
      </c>
      <c r="E166" s="10" t="s">
        <v>43</v>
      </c>
      <c r="F166" s="12">
        <v>1936.0</v>
      </c>
      <c r="G166" s="12">
        <v>2648.0</v>
      </c>
      <c r="H166" s="12">
        <v>33.0</v>
      </c>
      <c r="I166" s="12">
        <v>8.0</v>
      </c>
      <c r="J166" s="12">
        <v>4.0</v>
      </c>
      <c r="K166" s="12">
        <v>7.0</v>
      </c>
      <c r="L166" s="12">
        <v>105.0</v>
      </c>
      <c r="M166" s="12">
        <v>108.0</v>
      </c>
      <c r="N166" s="12">
        <v>4.0</v>
      </c>
      <c r="O166" s="13">
        <v>2.8</v>
      </c>
      <c r="P166" s="10"/>
    </row>
    <row r="167" ht="15.75" customHeight="1">
      <c r="A167" s="5" t="s">
        <v>170</v>
      </c>
      <c r="B167" s="5" t="s">
        <v>165</v>
      </c>
      <c r="C167" s="6" t="s">
        <v>27</v>
      </c>
      <c r="D167" s="6" t="s">
        <v>28</v>
      </c>
      <c r="E167" s="6" t="s">
        <v>112</v>
      </c>
      <c r="F167" s="7">
        <v>4266.0</v>
      </c>
      <c r="G167" s="7">
        <v>4861.0</v>
      </c>
      <c r="H167" s="7">
        <v>73.0</v>
      </c>
      <c r="I167" s="7">
        <v>12.0</v>
      </c>
      <c r="J167" s="7">
        <v>11.0</v>
      </c>
      <c r="K167" s="7">
        <v>9.0</v>
      </c>
      <c r="L167" s="7">
        <v>453.0</v>
      </c>
      <c r="M167" s="7">
        <v>59.0</v>
      </c>
      <c r="N167" s="7">
        <v>15.0</v>
      </c>
      <c r="O167" s="8">
        <v>2.79</v>
      </c>
      <c r="P167" s="6"/>
    </row>
    <row r="168" ht="15.75" customHeight="1">
      <c r="A168" s="9" t="s">
        <v>171</v>
      </c>
      <c r="B168" s="9" t="s">
        <v>165</v>
      </c>
      <c r="C168" s="10" t="s">
        <v>24</v>
      </c>
      <c r="D168" s="10" t="s">
        <v>66</v>
      </c>
      <c r="E168" s="11" t="s">
        <v>130</v>
      </c>
      <c r="F168" s="12">
        <v>5120.0</v>
      </c>
      <c r="G168" s="12">
        <v>5775.0</v>
      </c>
      <c r="H168" s="12">
        <v>43.0</v>
      </c>
      <c r="I168" s="12">
        <v>9.0</v>
      </c>
      <c r="J168" s="12">
        <v>6.0</v>
      </c>
      <c r="K168" s="12">
        <v>9.0</v>
      </c>
      <c r="L168" s="12">
        <v>436.0</v>
      </c>
      <c r="M168" s="12">
        <v>270.0</v>
      </c>
      <c r="N168" s="12">
        <v>6.0</v>
      </c>
      <c r="O168" s="13">
        <v>1.48</v>
      </c>
      <c r="P168" s="10"/>
    </row>
    <row r="169" ht="15.75" customHeight="1">
      <c r="A169" s="5" t="s">
        <v>171</v>
      </c>
      <c r="B169" s="5" t="s">
        <v>165</v>
      </c>
      <c r="C169" s="6" t="s">
        <v>39</v>
      </c>
      <c r="D169" s="6" t="s">
        <v>66</v>
      </c>
      <c r="E169" s="6" t="s">
        <v>136</v>
      </c>
      <c r="F169" s="7">
        <v>1160.0</v>
      </c>
      <c r="G169" s="7">
        <v>1798.0</v>
      </c>
      <c r="H169" s="7">
        <v>41.0</v>
      </c>
      <c r="I169" s="7">
        <v>6.0</v>
      </c>
      <c r="J169" s="7">
        <v>7.0</v>
      </c>
      <c r="K169" s="7">
        <v>7.0</v>
      </c>
      <c r="L169" s="7">
        <v>72.0</v>
      </c>
      <c r="M169" s="7">
        <v>43.0</v>
      </c>
      <c r="N169" s="7">
        <v>7.0</v>
      </c>
      <c r="O169" s="14">
        <v>5.65</v>
      </c>
      <c r="P169" s="16" t="s">
        <v>68</v>
      </c>
    </row>
    <row r="170" ht="15.75" customHeight="1">
      <c r="A170" s="9" t="s">
        <v>172</v>
      </c>
      <c r="B170" s="9" t="s">
        <v>173</v>
      </c>
      <c r="C170" s="10" t="s">
        <v>27</v>
      </c>
      <c r="D170" s="10" t="s">
        <v>31</v>
      </c>
      <c r="E170" s="10" t="s">
        <v>75</v>
      </c>
      <c r="F170" s="12">
        <v>2976.0</v>
      </c>
      <c r="G170" s="12">
        <v>4392.0</v>
      </c>
      <c r="H170" s="12">
        <v>35.0</v>
      </c>
      <c r="I170" s="12">
        <v>5.0</v>
      </c>
      <c r="J170" s="12">
        <v>3.0</v>
      </c>
      <c r="K170" s="12">
        <v>4.0</v>
      </c>
      <c r="L170" s="12">
        <v>317.0</v>
      </c>
      <c r="M170" s="12">
        <v>87.0</v>
      </c>
      <c r="N170" s="12">
        <v>12.0</v>
      </c>
      <c r="O170" s="13">
        <v>1.96</v>
      </c>
      <c r="P170" s="10"/>
    </row>
    <row r="171" ht="15.75" customHeight="1">
      <c r="A171" s="5" t="s">
        <v>174</v>
      </c>
      <c r="B171" s="5" t="s">
        <v>173</v>
      </c>
      <c r="C171" s="6" t="s">
        <v>33</v>
      </c>
      <c r="D171" s="6" t="s">
        <v>28</v>
      </c>
      <c r="E171" s="16" t="s">
        <v>91</v>
      </c>
      <c r="F171" s="7">
        <v>11223.0</v>
      </c>
      <c r="G171" s="7">
        <v>14286.0</v>
      </c>
      <c r="H171" s="7">
        <v>211.0</v>
      </c>
      <c r="I171" s="7">
        <v>31.0</v>
      </c>
      <c r="J171" s="7">
        <v>33.0</v>
      </c>
      <c r="K171" s="7">
        <v>40.0</v>
      </c>
      <c r="L171" s="7">
        <v>983.0</v>
      </c>
      <c r="M171" s="7">
        <v>655.0</v>
      </c>
      <c r="N171" s="7">
        <v>28.0</v>
      </c>
      <c r="O171" s="14">
        <v>3.23</v>
      </c>
      <c r="P171" s="6" t="s">
        <v>44</v>
      </c>
    </row>
    <row r="172" ht="15.75" customHeight="1">
      <c r="A172" s="9" t="s">
        <v>174</v>
      </c>
      <c r="B172" s="9" t="s">
        <v>173</v>
      </c>
      <c r="C172" s="10" t="s">
        <v>27</v>
      </c>
      <c r="D172" s="10" t="s">
        <v>34</v>
      </c>
      <c r="E172" s="11" t="s">
        <v>82</v>
      </c>
      <c r="F172" s="12">
        <v>2063.0</v>
      </c>
      <c r="G172" s="12">
        <v>2636.0</v>
      </c>
      <c r="H172" s="12">
        <v>23.0</v>
      </c>
      <c r="I172" s="12">
        <v>5.0</v>
      </c>
      <c r="J172" s="12">
        <v>3.0</v>
      </c>
      <c r="K172" s="12">
        <v>2.0</v>
      </c>
      <c r="L172" s="12">
        <v>184.0</v>
      </c>
      <c r="M172" s="12">
        <v>102.0</v>
      </c>
      <c r="N172" s="12">
        <v>8.0</v>
      </c>
      <c r="O172" s="13">
        <v>1.89</v>
      </c>
      <c r="P172" s="10"/>
    </row>
    <row r="173" ht="15.75" customHeight="1">
      <c r="A173" s="5" t="s">
        <v>175</v>
      </c>
      <c r="B173" s="5" t="s">
        <v>173</v>
      </c>
      <c r="C173" s="6" t="s">
        <v>33</v>
      </c>
      <c r="D173" s="6" t="s">
        <v>25</v>
      </c>
      <c r="E173" s="6" t="s">
        <v>46</v>
      </c>
      <c r="F173" s="7">
        <v>1682.0</v>
      </c>
      <c r="G173" s="7">
        <v>2177.0</v>
      </c>
      <c r="H173" s="7">
        <v>22.0</v>
      </c>
      <c r="I173" s="7">
        <v>6.0</v>
      </c>
      <c r="J173" s="7">
        <v>3.0</v>
      </c>
      <c r="K173" s="7">
        <v>5.0</v>
      </c>
      <c r="L173" s="7">
        <v>81.0</v>
      </c>
      <c r="M173" s="7">
        <v>24.0</v>
      </c>
      <c r="N173" s="7">
        <v>15.0</v>
      </c>
      <c r="O173" s="8">
        <v>2.39</v>
      </c>
      <c r="P173" s="6"/>
    </row>
    <row r="174" ht="15.75" customHeight="1">
      <c r="A174" s="9" t="s">
        <v>176</v>
      </c>
      <c r="B174" s="9" t="s">
        <v>173</v>
      </c>
      <c r="C174" s="10" t="s">
        <v>39</v>
      </c>
      <c r="D174" s="10" t="s">
        <v>31</v>
      </c>
      <c r="E174" s="10" t="s">
        <v>32</v>
      </c>
      <c r="F174" s="12">
        <v>1583.0</v>
      </c>
      <c r="G174" s="12">
        <v>2213.0</v>
      </c>
      <c r="H174" s="12">
        <v>50.0</v>
      </c>
      <c r="I174" s="12">
        <v>6.0</v>
      </c>
      <c r="J174" s="12">
        <v>5.0</v>
      </c>
      <c r="K174" s="12">
        <v>9.0</v>
      </c>
      <c r="L174" s="12">
        <v>155.0</v>
      </c>
      <c r="M174" s="12">
        <v>60.0</v>
      </c>
      <c r="N174" s="12">
        <v>8.0</v>
      </c>
      <c r="O174" s="15">
        <v>4.75</v>
      </c>
      <c r="P174" s="10"/>
    </row>
    <row r="175" ht="15.75" customHeight="1">
      <c r="A175" s="5" t="s">
        <v>176</v>
      </c>
      <c r="B175" s="5" t="s">
        <v>173</v>
      </c>
      <c r="C175" s="6" t="s">
        <v>24</v>
      </c>
      <c r="D175" s="6" t="s">
        <v>25</v>
      </c>
      <c r="E175" s="6" t="s">
        <v>116</v>
      </c>
      <c r="F175" s="7">
        <v>999.0</v>
      </c>
      <c r="G175" s="7">
        <v>1289.0</v>
      </c>
      <c r="H175" s="7">
        <v>4.0</v>
      </c>
      <c r="I175" s="7">
        <v>0.0</v>
      </c>
      <c r="J175" s="7">
        <v>0.0</v>
      </c>
      <c r="K175" s="7">
        <v>0.0</v>
      </c>
      <c r="L175" s="7">
        <v>73.0</v>
      </c>
      <c r="M175" s="7">
        <v>34.0</v>
      </c>
      <c r="N175" s="7">
        <v>2.0</v>
      </c>
      <c r="O175" s="17">
        <v>0.79</v>
      </c>
      <c r="P175" s="16" t="s">
        <v>47</v>
      </c>
    </row>
    <row r="176" ht="15.75" customHeight="1">
      <c r="A176" s="9" t="s">
        <v>177</v>
      </c>
      <c r="B176" s="9" t="s">
        <v>173</v>
      </c>
      <c r="C176" s="10" t="s">
        <v>33</v>
      </c>
      <c r="D176" s="10" t="s">
        <v>28</v>
      </c>
      <c r="E176" s="10" t="s">
        <v>79</v>
      </c>
      <c r="F176" s="12">
        <v>9330.0</v>
      </c>
      <c r="G176" s="12">
        <v>11175.0</v>
      </c>
      <c r="H176" s="12">
        <v>183.0</v>
      </c>
      <c r="I176" s="12">
        <v>53.0</v>
      </c>
      <c r="J176" s="12">
        <v>22.0</v>
      </c>
      <c r="K176" s="12">
        <v>34.0</v>
      </c>
      <c r="L176" s="12">
        <v>973.0</v>
      </c>
      <c r="M176" s="12">
        <v>247.0</v>
      </c>
      <c r="N176" s="12">
        <v>29.0</v>
      </c>
      <c r="O176" s="15">
        <v>3.31</v>
      </c>
      <c r="P176" s="10" t="s">
        <v>44</v>
      </c>
    </row>
    <row r="177" ht="15.75" customHeight="1">
      <c r="A177" s="5" t="s">
        <v>178</v>
      </c>
      <c r="B177" s="5" t="s">
        <v>173</v>
      </c>
      <c r="C177" s="6" t="s">
        <v>33</v>
      </c>
      <c r="D177" s="6" t="s">
        <v>34</v>
      </c>
      <c r="E177" s="16" t="s">
        <v>35</v>
      </c>
      <c r="F177" s="7">
        <v>3043.0</v>
      </c>
      <c r="G177" s="7">
        <v>3825.0</v>
      </c>
      <c r="H177" s="7">
        <v>153.0</v>
      </c>
      <c r="I177" s="7">
        <v>24.0</v>
      </c>
      <c r="J177" s="7">
        <v>21.0</v>
      </c>
      <c r="K177" s="7">
        <v>21.0</v>
      </c>
      <c r="L177" s="7">
        <v>261.0</v>
      </c>
      <c r="M177" s="7">
        <v>67.0</v>
      </c>
      <c r="N177" s="7">
        <v>22.0</v>
      </c>
      <c r="O177" s="14">
        <v>7.27</v>
      </c>
      <c r="P177" s="6"/>
    </row>
    <row r="178" ht="15.75" customHeight="1">
      <c r="A178" s="9" t="s">
        <v>178</v>
      </c>
      <c r="B178" s="9" t="s">
        <v>173</v>
      </c>
      <c r="C178" s="10" t="s">
        <v>39</v>
      </c>
      <c r="D178" s="10" t="s">
        <v>28</v>
      </c>
      <c r="E178" s="10" t="s">
        <v>79</v>
      </c>
      <c r="F178" s="12">
        <v>1356.0</v>
      </c>
      <c r="G178" s="12">
        <v>2123.0</v>
      </c>
      <c r="H178" s="12">
        <v>26.0</v>
      </c>
      <c r="I178" s="12">
        <v>3.0</v>
      </c>
      <c r="J178" s="12">
        <v>3.0</v>
      </c>
      <c r="K178" s="12">
        <v>2.0</v>
      </c>
      <c r="L178" s="12">
        <v>133.0</v>
      </c>
      <c r="M178" s="12">
        <v>77.0</v>
      </c>
      <c r="N178" s="12">
        <v>2.0</v>
      </c>
      <c r="O178" s="13">
        <v>2.82</v>
      </c>
      <c r="P178" s="10"/>
    </row>
    <row r="179" ht="15.75" customHeight="1">
      <c r="A179" s="5" t="s">
        <v>178</v>
      </c>
      <c r="B179" s="5" t="s">
        <v>173</v>
      </c>
      <c r="C179" s="6" t="s">
        <v>27</v>
      </c>
      <c r="D179" s="6" t="s">
        <v>28</v>
      </c>
      <c r="E179" s="16" t="s">
        <v>29</v>
      </c>
      <c r="F179" s="7">
        <v>1247.0</v>
      </c>
      <c r="G179" s="7">
        <v>1900.0</v>
      </c>
      <c r="H179" s="7">
        <v>19.0</v>
      </c>
      <c r="I179" s="7">
        <v>2.0</v>
      </c>
      <c r="J179" s="7">
        <v>2.0</v>
      </c>
      <c r="K179" s="7">
        <v>2.0</v>
      </c>
      <c r="L179" s="7">
        <v>65.0</v>
      </c>
      <c r="M179" s="7">
        <v>38.0</v>
      </c>
      <c r="N179" s="7">
        <v>7.0</v>
      </c>
      <c r="O179" s="8">
        <v>2.42</v>
      </c>
      <c r="P179" s="6"/>
    </row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6.0"/>
    <col customWidth="1" min="2" max="5" width="16.0"/>
    <col customWidth="1" min="6" max="6" width="22.0"/>
    <col customWidth="1" min="7" max="26" width="14.38"/>
  </cols>
  <sheetData>
    <row r="1" ht="36.0" customHeight="1">
      <c r="A1" s="19" t="s">
        <v>179</v>
      </c>
      <c r="B1" s="20"/>
      <c r="C1" s="20"/>
      <c r="D1" s="20"/>
      <c r="E1" s="20"/>
      <c r="F1" s="20"/>
    </row>
    <row r="2" ht="19.5" customHeight="1">
      <c r="A2" s="21" t="s">
        <v>180</v>
      </c>
      <c r="B2" s="20"/>
      <c r="C2" s="20"/>
      <c r="D2" s="20"/>
      <c r="E2" s="20"/>
      <c r="F2" s="20"/>
    </row>
    <row r="4" ht="21.75" customHeight="1">
      <c r="A4" s="22" t="s">
        <v>181</v>
      </c>
      <c r="B4" s="20"/>
      <c r="C4" s="20"/>
      <c r="D4" s="20"/>
      <c r="E4" s="20"/>
      <c r="F4" s="20"/>
    </row>
    <row r="5" ht="19.5" customHeight="1">
      <c r="A5" s="23" t="s">
        <v>182</v>
      </c>
      <c r="B5" s="23" t="s">
        <v>183</v>
      </c>
      <c r="C5" s="23"/>
      <c r="D5" s="23" t="s">
        <v>182</v>
      </c>
      <c r="E5" s="23" t="s">
        <v>183</v>
      </c>
      <c r="F5" s="23"/>
    </row>
    <row r="6" ht="24.0" customHeight="1">
      <c r="A6" s="24" t="s">
        <v>184</v>
      </c>
      <c r="B6" s="25">
        <f>COUNTA('Raw Data'!A3:A179)</f>
        <v>177</v>
      </c>
      <c r="C6" s="26"/>
      <c r="D6" s="24" t="s">
        <v>185</v>
      </c>
      <c r="E6" s="27">
        <f>SUM('Raw Data'!F3:F179)</f>
        <v>568466</v>
      </c>
      <c r="F6" s="26"/>
    </row>
    <row r="7" ht="24.0" customHeight="1">
      <c r="A7" s="28" t="s">
        <v>186</v>
      </c>
      <c r="B7" s="27">
        <f>SUM('Raw Data'!G3:G179)</f>
        <v>781707</v>
      </c>
      <c r="C7" s="26"/>
      <c r="D7" s="28" t="s">
        <v>187</v>
      </c>
      <c r="E7" s="27">
        <f>SUM('Raw Data'!H3:H179)</f>
        <v>14304</v>
      </c>
      <c r="F7" s="26"/>
    </row>
    <row r="8" ht="24.0" customHeight="1">
      <c r="A8" s="24" t="s">
        <v>188</v>
      </c>
      <c r="B8" s="27">
        <f>SUM('Raw Data'!I3:I179)</f>
        <v>2984</v>
      </c>
      <c r="C8" s="26"/>
      <c r="D8" s="24" t="s">
        <v>189</v>
      </c>
      <c r="E8" s="27">
        <f>SUM('Raw Data'!J3:J179)</f>
        <v>1854</v>
      </c>
      <c r="F8" s="26"/>
    </row>
    <row r="9" ht="24.0" customHeight="1">
      <c r="A9" s="28" t="s">
        <v>190</v>
      </c>
      <c r="B9" s="27">
        <f>SUM('Raw Data'!K3:K179)</f>
        <v>2282</v>
      </c>
      <c r="C9" s="26"/>
      <c r="D9" s="28" t="s">
        <v>191</v>
      </c>
      <c r="E9" s="27">
        <f>SUM('Raw Data'!M3:M179)</f>
        <v>20379</v>
      </c>
      <c r="F9" s="26"/>
    </row>
    <row r="10" ht="24.0" customHeight="1">
      <c r="A10" s="24" t="s">
        <v>192</v>
      </c>
      <c r="B10" s="27">
        <f>SUM('Raw Data'!N3:N179)</f>
        <v>2419</v>
      </c>
      <c r="C10" s="26"/>
      <c r="D10" s="24" t="s">
        <v>193</v>
      </c>
      <c r="E10" s="29">
        <f>AVERAGE('Raw Data'!O3:O179)</f>
        <v>3.131468927</v>
      </c>
      <c r="F10" s="26"/>
    </row>
    <row r="12" ht="21.75" customHeight="1">
      <c r="A12" s="22" t="s">
        <v>194</v>
      </c>
      <c r="B12" s="20"/>
      <c r="C12" s="20"/>
      <c r="D12" s="20"/>
      <c r="E12" s="20"/>
      <c r="F12" s="20"/>
    </row>
    <row r="13" ht="19.5" customHeight="1">
      <c r="A13" s="23" t="s">
        <v>8</v>
      </c>
      <c r="B13" s="23" t="s">
        <v>195</v>
      </c>
      <c r="C13" s="23" t="s">
        <v>196</v>
      </c>
      <c r="D13" s="23" t="s">
        <v>197</v>
      </c>
      <c r="E13" s="23" t="s">
        <v>198</v>
      </c>
      <c r="F13" s="23" t="s">
        <v>199</v>
      </c>
    </row>
    <row r="14" ht="21.75" customHeight="1">
      <c r="A14" s="30" t="s">
        <v>24</v>
      </c>
      <c r="B14" s="31">
        <f>COUNTIF('Raw Data'!C3:C179,"Instagram")</f>
        <v>45</v>
      </c>
      <c r="C14" s="31">
        <f>AVERAGEIF('Raw Data'!C3:C179,"Instagram",'Raw Data'!F3:F179)</f>
        <v>3105.622222</v>
      </c>
      <c r="D14" s="29">
        <f>AVERAGEIF('Raw Data'!C3:C179,"Instagram",'Raw Data'!O3:O179)</f>
        <v>2.378222222</v>
      </c>
      <c r="E14" s="31">
        <f>SUMIF('Raw Data'!C3:C179,"Instagram",'Raw Data'!N3:N179)</f>
        <v>570</v>
      </c>
      <c r="F14" s="32" t="s">
        <v>66</v>
      </c>
    </row>
    <row r="15" ht="21.75" customHeight="1">
      <c r="A15" s="33" t="s">
        <v>33</v>
      </c>
      <c r="B15" s="31">
        <f>COUNTIF('Raw Data'!C3:C179,"TikTok")</f>
        <v>45</v>
      </c>
      <c r="C15" s="31">
        <f>AVERAGEIF('Raw Data'!C3:C179,"TikTok",'Raw Data'!F3:F179)</f>
        <v>6229.577778</v>
      </c>
      <c r="D15" s="29">
        <f>AVERAGEIF('Raw Data'!C3:C179,"TikTok",'Raw Data'!O3:O179)</f>
        <v>5.206</v>
      </c>
      <c r="E15" s="31">
        <f>SUMIF('Raw Data'!C3:C179,"TikTok",'Raw Data'!N3:N179)</f>
        <v>1400</v>
      </c>
      <c r="F15" s="32" t="s">
        <v>28</v>
      </c>
    </row>
    <row r="16" ht="21.75" customHeight="1">
      <c r="A16" s="30" t="s">
        <v>27</v>
      </c>
      <c r="B16" s="31">
        <f>COUNTIF('Raw Data'!C3:C179,"Facebook")</f>
        <v>41</v>
      </c>
      <c r="C16" s="31">
        <f>AVERAGEIF('Raw Data'!C3:C179,"Facebook",'Raw Data'!F3:F179)</f>
        <v>2185.658537</v>
      </c>
      <c r="D16" s="29">
        <f>AVERAGEIF('Raw Data'!C3:C179,"Facebook",'Raw Data'!O3:O179)</f>
        <v>1.442926829</v>
      </c>
      <c r="E16" s="31">
        <f>SUMIF('Raw Data'!C3:C179,"Facebook",'Raw Data'!N3:N179)</f>
        <v>288</v>
      </c>
      <c r="F16" s="32" t="s">
        <v>31</v>
      </c>
    </row>
    <row r="17" ht="21.75" customHeight="1">
      <c r="A17" s="33" t="s">
        <v>39</v>
      </c>
      <c r="B17" s="31">
        <f>COUNTIF('Raw Data'!C3:C179,"LinkedIn")</f>
        <v>46</v>
      </c>
      <c r="C17" s="31">
        <f>AVERAGEIF('Raw Data'!C3:C179,"LinkedIn",'Raw Data'!F3:F179)</f>
        <v>1277.608696</v>
      </c>
      <c r="D17" s="29">
        <f>AVERAGEIF('Raw Data'!C3:C179,"LinkedIn",'Raw Data'!O3:O179)</f>
        <v>3.343913043</v>
      </c>
      <c r="E17" s="31">
        <f>SUMIF('Raw Data'!C3:C179,"LinkedIn",'Raw Data'!N3:N179)</f>
        <v>161</v>
      </c>
      <c r="F17" s="32" t="s">
        <v>34</v>
      </c>
    </row>
    <row r="20" ht="21.75" customHeight="1">
      <c r="A20" s="22" t="s">
        <v>200</v>
      </c>
      <c r="B20" s="20"/>
      <c r="C20" s="20"/>
      <c r="D20" s="20"/>
      <c r="E20" s="20"/>
      <c r="F20" s="20"/>
    </row>
    <row r="21" ht="19.5" customHeight="1">
      <c r="A21" s="23" t="s">
        <v>9</v>
      </c>
      <c r="B21" s="23" t="s">
        <v>195</v>
      </c>
      <c r="C21" s="23" t="s">
        <v>196</v>
      </c>
      <c r="D21" s="23" t="s">
        <v>197</v>
      </c>
      <c r="E21" s="23" t="s">
        <v>201</v>
      </c>
      <c r="F21" s="23" t="s">
        <v>202</v>
      </c>
    </row>
    <row r="22" ht="21.75" customHeight="1">
      <c r="A22" s="10" t="s">
        <v>31</v>
      </c>
      <c r="B22" s="31">
        <f>COUNTIF('Raw Data'!D3:D179,"Educational")</f>
        <v>40</v>
      </c>
      <c r="C22" s="31">
        <f>AVERAGEIF('Raw Data'!D3:D179,"Educational",'Raw Data'!F3:F179)</f>
        <v>3916.975</v>
      </c>
      <c r="D22" s="29">
        <f>AVERAGEIF('Raw Data'!D3:D179,"Educational",'Raw Data'!O3:O179)</f>
        <v>3.8005</v>
      </c>
      <c r="E22" s="34">
        <f>AVERAGEIF('Raw Data'!D3:D179,"Educational",'Raw Data'!N3:N179)</f>
        <v>16.525</v>
      </c>
      <c r="F22" s="35" t="s">
        <v>203</v>
      </c>
    </row>
    <row r="23" ht="21.75" customHeight="1">
      <c r="A23" s="6" t="s">
        <v>25</v>
      </c>
      <c r="B23" s="31">
        <f>COUNTIF('Raw Data'!D3:D179,"Promotional")</f>
        <v>37</v>
      </c>
      <c r="C23" s="31">
        <f>AVERAGEIF('Raw Data'!D3:D179,"Promotional",'Raw Data'!F3:F179)</f>
        <v>1780.540541</v>
      </c>
      <c r="D23" s="29">
        <f>AVERAGEIF('Raw Data'!D3:D179,"Promotional",'Raw Data'!O3:O179)</f>
        <v>1.55972973</v>
      </c>
      <c r="E23" s="34">
        <f>AVERAGEIF('Raw Data'!D3:D179,"Promotional",'Raw Data'!N3:N179)</f>
        <v>5.756756757</v>
      </c>
      <c r="F23" s="36" t="s">
        <v>204</v>
      </c>
    </row>
    <row r="24" ht="21.75" customHeight="1">
      <c r="A24" s="10" t="s">
        <v>66</v>
      </c>
      <c r="B24" s="31">
        <f>COUNTIF('Raw Data'!D3:D179,"UGC / Testimonial")</f>
        <v>21</v>
      </c>
      <c r="C24" s="31">
        <f>AVERAGEIF('Raw Data'!D3:D179,"UGC / Testimonial",'Raw Data'!F3:F179)</f>
        <v>4671</v>
      </c>
      <c r="D24" s="29">
        <f>AVERAGEIF('Raw Data'!D3:D179,"UGC / Testimonial",'Raw Data'!O3:O179)</f>
        <v>4.157619048</v>
      </c>
      <c r="E24" s="34">
        <f>AVERAGEIF('Raw Data'!D3:D179,"UGC / Testimonial",'Raw Data'!N3:N179)</f>
        <v>20.95238095</v>
      </c>
      <c r="F24" s="35" t="s">
        <v>205</v>
      </c>
    </row>
    <row r="25" ht="21.75" customHeight="1">
      <c r="A25" s="6" t="s">
        <v>34</v>
      </c>
      <c r="B25" s="31">
        <f>COUNTIF('Raw Data'!D3:D179,"Product Feature")</f>
        <v>33</v>
      </c>
      <c r="C25" s="31">
        <f>AVERAGEIF('Raw Data'!D3:D179,"Product Feature",'Raw Data'!F3:F179)</f>
        <v>2489.030303</v>
      </c>
      <c r="D25" s="29">
        <f>AVERAGEIF('Raw Data'!D3:D179,"Product Feature",'Raw Data'!O3:O179)</f>
        <v>2.666060606</v>
      </c>
      <c r="E25" s="34">
        <f>AVERAGEIF('Raw Data'!D3:D179,"Product Feature",'Raw Data'!N3:N179)</f>
        <v>12.78787879</v>
      </c>
      <c r="F25" s="37" t="s">
        <v>206</v>
      </c>
    </row>
    <row r="26" ht="21.75" customHeight="1">
      <c r="A26" s="10" t="s">
        <v>28</v>
      </c>
      <c r="B26" s="31">
        <f>COUNTIF('Raw Data'!D3:D179,"Community / Cultural")</f>
        <v>19</v>
      </c>
      <c r="C26" s="31">
        <f>AVERAGEIF('Raw Data'!D3:D179,"Community / Cultural",'Raw Data'!F3:F179)</f>
        <v>4352.736842</v>
      </c>
      <c r="D26" s="29">
        <f>AVERAGEIF('Raw Data'!D3:D179,"Community / Cultural",'Raw Data'!O3:O179)</f>
        <v>3.911052632</v>
      </c>
      <c r="E26" s="34">
        <f>AVERAGEIF('Raw Data'!D3:D179,"Community / Cultural",'Raw Data'!N3:N179)</f>
        <v>16.57894737</v>
      </c>
      <c r="F26" s="35" t="s">
        <v>207</v>
      </c>
    </row>
    <row r="27" ht="21.75" customHeight="1">
      <c r="A27" s="6" t="s">
        <v>37</v>
      </c>
      <c r="B27" s="31">
        <f>COUNTIF('Raw Data'!D3:D179,"Behind the Scenes")</f>
        <v>27</v>
      </c>
      <c r="C27" s="31">
        <f>AVERAGEIF('Raw Data'!D3:D179,"Behind the Scenes",'Raw Data'!F3:F179)</f>
        <v>3073.185185</v>
      </c>
      <c r="D27" s="29">
        <f>AVERAGEIF('Raw Data'!D3:D179,"Behind the Scenes",'Raw Data'!O3:O179)</f>
        <v>3.516296296</v>
      </c>
      <c r="E27" s="34">
        <f>AVERAGEIF('Raw Data'!D3:D179,"Behind the Scenes",'Raw Data'!N3:N179)</f>
        <v>13.62962963</v>
      </c>
      <c r="F27" s="38" t="s">
        <v>208</v>
      </c>
    </row>
    <row r="28" ht="15.75" customHeight="1"/>
    <row r="29" ht="15.75" customHeight="1"/>
    <row r="30" ht="21.75" customHeight="1">
      <c r="A30" s="22" t="s">
        <v>209</v>
      </c>
      <c r="B30" s="20"/>
      <c r="C30" s="20"/>
      <c r="D30" s="20"/>
      <c r="E30" s="20"/>
      <c r="F30" s="20"/>
    </row>
    <row r="31" ht="19.5" customHeight="1">
      <c r="A31" s="23" t="s">
        <v>7</v>
      </c>
      <c r="B31" s="23" t="s">
        <v>185</v>
      </c>
      <c r="C31" s="23" t="s">
        <v>210</v>
      </c>
      <c r="D31" s="23" t="s">
        <v>197</v>
      </c>
      <c r="E31" s="23" t="s">
        <v>19</v>
      </c>
      <c r="F31" s="23" t="s">
        <v>211</v>
      </c>
    </row>
    <row r="32" ht="19.5" customHeight="1">
      <c r="A32" s="39" t="s">
        <v>23</v>
      </c>
      <c r="B32" s="31">
        <f>SUMIF('Raw Data'!B3:B179,"W01",'Raw Data'!F3:F179)</f>
        <v>45486</v>
      </c>
      <c r="C32" s="31">
        <f>COUNTIF('Raw Data'!B3:B179,"W01")</f>
        <v>17</v>
      </c>
      <c r="D32" s="29">
        <f>AVERAGEIF('Raw Data'!B3:B179,"W01",'Raw Data'!O3:O179)</f>
        <v>2.805882353</v>
      </c>
      <c r="E32" s="31">
        <f>SUMIF('Raw Data'!B3:B179,"W01",'Raw Data'!N3:N179)</f>
        <v>182</v>
      </c>
      <c r="F32" s="37" t="s">
        <v>212</v>
      </c>
    </row>
    <row r="33" ht="19.5" customHeight="1">
      <c r="A33" s="40" t="s">
        <v>54</v>
      </c>
      <c r="B33" s="31">
        <f>SUMIF('Raw Data'!B3:B179,"W02",'Raw Data'!F3:F179)</f>
        <v>39941</v>
      </c>
      <c r="C33" s="31">
        <f>COUNTIF('Raw Data'!B3:B179,"W02")</f>
        <v>14</v>
      </c>
      <c r="D33" s="29">
        <f>AVERAGEIF('Raw Data'!B3:B179,"W02",'Raw Data'!O3:O179)</f>
        <v>3.009285714</v>
      </c>
      <c r="E33" s="31">
        <f>SUMIF('Raw Data'!B3:B179,"W02",'Raw Data'!N3:N179)</f>
        <v>202</v>
      </c>
      <c r="F33" s="37" t="s">
        <v>213</v>
      </c>
    </row>
    <row r="34" ht="19.5" customHeight="1">
      <c r="A34" s="39" t="s">
        <v>71</v>
      </c>
      <c r="B34" s="31">
        <f>SUMIF('Raw Data'!B3:B179,"W03",'Raw Data'!F3:F179)</f>
        <v>49227</v>
      </c>
      <c r="C34" s="31">
        <f>COUNTIF('Raw Data'!B3:B179,"W03")</f>
        <v>16</v>
      </c>
      <c r="D34" s="29">
        <f>AVERAGEIF('Raw Data'!B3:B179,"W03",'Raw Data'!O3:O179)</f>
        <v>4.13375</v>
      </c>
      <c r="E34" s="31">
        <f>SUMIF('Raw Data'!B3:B179,"W03",'Raw Data'!N3:N179)</f>
        <v>268</v>
      </c>
      <c r="F34" s="38" t="s">
        <v>214</v>
      </c>
    </row>
    <row r="35" ht="19.5" customHeight="1">
      <c r="A35" s="40" t="s">
        <v>84</v>
      </c>
      <c r="B35" s="31">
        <f>SUMIF('Raw Data'!B3:B179,"W04",'Raw Data'!F3:F179)</f>
        <v>37111</v>
      </c>
      <c r="C35" s="31">
        <f>COUNTIF('Raw Data'!B3:B179,"W04")</f>
        <v>13</v>
      </c>
      <c r="D35" s="29">
        <f>AVERAGEIF('Raw Data'!B3:B179,"W04",'Raw Data'!O3:O179)</f>
        <v>2.960769231</v>
      </c>
      <c r="E35" s="31">
        <f>SUMIF('Raw Data'!B3:B179,"W04",'Raw Data'!N3:N179)</f>
        <v>139</v>
      </c>
      <c r="F35" s="37" t="s">
        <v>215</v>
      </c>
    </row>
    <row r="36" ht="19.5" customHeight="1">
      <c r="A36" s="39" t="s">
        <v>96</v>
      </c>
      <c r="B36" s="31">
        <f>SUMIF('Raw Data'!B3:B179,"W05",'Raw Data'!F3:F179)</f>
        <v>84045</v>
      </c>
      <c r="C36" s="31">
        <f>COUNTIF('Raw Data'!B3:B179,"W05")</f>
        <v>16</v>
      </c>
      <c r="D36" s="29">
        <f>AVERAGEIF('Raw Data'!B3:B179,"W05",'Raw Data'!O3:O179)</f>
        <v>3.55125</v>
      </c>
      <c r="E36" s="31">
        <f>SUMIF('Raw Data'!B3:B179,"W05",'Raw Data'!N3:N179)</f>
        <v>287</v>
      </c>
      <c r="F36" s="37" t="s">
        <v>216</v>
      </c>
    </row>
    <row r="37" ht="19.5" customHeight="1">
      <c r="A37" s="40" t="s">
        <v>105</v>
      </c>
      <c r="B37" s="31">
        <f>SUMIF('Raw Data'!B3:B179,"W06",'Raw Data'!F3:F179)</f>
        <v>43939</v>
      </c>
      <c r="C37" s="31">
        <f>COUNTIF('Raw Data'!B3:B179,"W06")</f>
        <v>13</v>
      </c>
      <c r="D37" s="29">
        <f>AVERAGEIF('Raw Data'!B3:B179,"W06",'Raw Data'!O3:O179)</f>
        <v>3.387692308</v>
      </c>
      <c r="E37" s="31">
        <f>SUMIF('Raw Data'!B3:B179,"W06",'Raw Data'!N3:N179)</f>
        <v>217</v>
      </c>
      <c r="F37" s="37" t="s">
        <v>217</v>
      </c>
    </row>
    <row r="38" ht="19.5" customHeight="1">
      <c r="A38" s="39" t="s">
        <v>115</v>
      </c>
      <c r="B38" s="31">
        <f>SUMIF('Raw Data'!B3:B179,"W07",'Raw Data'!F3:F179)</f>
        <v>36555</v>
      </c>
      <c r="C38" s="31">
        <f>COUNTIF('Raw Data'!B3:B179,"W07")</f>
        <v>13</v>
      </c>
      <c r="D38" s="29">
        <f>AVERAGEIF('Raw Data'!B3:B179,"W07",'Raw Data'!O3:O179)</f>
        <v>3.026923077</v>
      </c>
      <c r="E38" s="31">
        <f>SUMIF('Raw Data'!B3:B179,"W07",'Raw Data'!N3:N179)</f>
        <v>138</v>
      </c>
      <c r="F38" s="37" t="s">
        <v>218</v>
      </c>
    </row>
    <row r="39" ht="19.5" customHeight="1">
      <c r="A39" s="40" t="s">
        <v>124</v>
      </c>
      <c r="B39" s="31">
        <f>SUMIF('Raw Data'!B3:B179,"W08",'Raw Data'!F3:F179)</f>
        <v>32265</v>
      </c>
      <c r="C39" s="31">
        <f>COUNTIF('Raw Data'!B3:B179,"W08")</f>
        <v>13</v>
      </c>
      <c r="D39" s="29">
        <f>AVERAGEIF('Raw Data'!B3:B179,"W08",'Raw Data'!O3:O179)</f>
        <v>2.616153846</v>
      </c>
      <c r="E39" s="31">
        <f>SUMIF('Raw Data'!B3:B179,"W08",'Raw Data'!N3:N179)</f>
        <v>177</v>
      </c>
      <c r="F39" s="38" t="s">
        <v>219</v>
      </c>
    </row>
    <row r="40" ht="19.5" customHeight="1">
      <c r="A40" s="39" t="s">
        <v>133</v>
      </c>
      <c r="B40" s="31">
        <f>SUMIF('Raw Data'!B3:B179,"W09",'Raw Data'!F3:F179)</f>
        <v>39650</v>
      </c>
      <c r="C40" s="31">
        <f>COUNTIF('Raw Data'!B3:B179,"W09")</f>
        <v>13</v>
      </c>
      <c r="D40" s="29">
        <f>AVERAGEIF('Raw Data'!B3:B179,"W09",'Raw Data'!O3:O179)</f>
        <v>2.640769231</v>
      </c>
      <c r="E40" s="31">
        <f>SUMIF('Raw Data'!B3:B179,"W09",'Raw Data'!N3:N179)</f>
        <v>192</v>
      </c>
      <c r="F40" s="37" t="s">
        <v>220</v>
      </c>
    </row>
    <row r="41" ht="19.5" customHeight="1">
      <c r="A41" s="40" t="s">
        <v>143</v>
      </c>
      <c r="B41" s="31">
        <f>SUMIF('Raw Data'!B3:B179,"W10",'Raw Data'!F3:F179)</f>
        <v>27821</v>
      </c>
      <c r="C41" s="31">
        <f>COUNTIF('Raw Data'!B3:B179,"W10")</f>
        <v>11</v>
      </c>
      <c r="D41" s="29">
        <f>AVERAGEIF('Raw Data'!B3:B179,"W10",'Raw Data'!O3:O179)</f>
        <v>3.117272727</v>
      </c>
      <c r="E41" s="31">
        <f>SUMIF('Raw Data'!B3:B179,"W10",'Raw Data'!N3:N179)</f>
        <v>110</v>
      </c>
      <c r="F41" s="37" t="s">
        <v>221</v>
      </c>
    </row>
    <row r="42" ht="19.5" customHeight="1">
      <c r="A42" s="39" t="s">
        <v>153</v>
      </c>
      <c r="B42" s="31">
        <f>SUMIF('Raw Data'!B3:B179,"W11",'Raw Data'!F3:F179)</f>
        <v>56412</v>
      </c>
      <c r="C42" s="31">
        <f>COUNTIF('Raw Data'!B3:B179,"W11")</f>
        <v>15</v>
      </c>
      <c r="D42" s="29">
        <f>AVERAGEIF('Raw Data'!B3:B179,"W11",'Raw Data'!O3:O179)</f>
        <v>3.368666667</v>
      </c>
      <c r="E42" s="31">
        <f>SUMIF('Raw Data'!B3:B179,"W11",'Raw Data'!N3:N179)</f>
        <v>256</v>
      </c>
      <c r="F42" s="37" t="s">
        <v>222</v>
      </c>
    </row>
    <row r="43" ht="19.5" customHeight="1">
      <c r="A43" s="40" t="s">
        <v>165</v>
      </c>
      <c r="B43" s="31">
        <f>SUMIF('Raw Data'!B3:B179,"W12",'Raw Data'!F3:F179)</f>
        <v>40512</v>
      </c>
      <c r="C43" s="31">
        <f>COUNTIF('Raw Data'!B3:B179,"W12")</f>
        <v>13</v>
      </c>
      <c r="D43" s="29">
        <f>AVERAGEIF('Raw Data'!B3:B179,"W12",'Raw Data'!O3:O179)</f>
        <v>2.739230769</v>
      </c>
      <c r="E43" s="31">
        <f>SUMIF('Raw Data'!B3:B179,"W12",'Raw Data'!N3:N179)</f>
        <v>118</v>
      </c>
      <c r="F43" s="37" t="s">
        <v>223</v>
      </c>
    </row>
    <row r="44" ht="19.5" customHeight="1">
      <c r="A44" s="39" t="s">
        <v>173</v>
      </c>
      <c r="B44" s="31">
        <f>SUMIF('Raw Data'!B3:B179,"W13",'Raw Data'!F3:F179)</f>
        <v>35502</v>
      </c>
      <c r="C44" s="31">
        <f>COUNTIF('Raw Data'!B3:B179,"W13")</f>
        <v>10</v>
      </c>
      <c r="D44" s="29">
        <f>AVERAGEIF('Raw Data'!B3:B179,"W13",'Raw Data'!O3:O179)</f>
        <v>3.083</v>
      </c>
      <c r="E44" s="31">
        <f>SUMIF('Raw Data'!B3:B179,"W13",'Raw Data'!N3:N179)</f>
        <v>133</v>
      </c>
      <c r="F44" s="37" t="s">
        <v>224</v>
      </c>
    </row>
    <row r="45" ht="15.75" customHeight="1"/>
    <row r="46" ht="15.75" customHeight="1"/>
    <row r="47" ht="21.75" customHeight="1">
      <c r="A47" s="41" t="s">
        <v>225</v>
      </c>
      <c r="B47" s="20"/>
      <c r="C47" s="20"/>
      <c r="D47" s="20"/>
      <c r="E47" s="20"/>
      <c r="F47" s="20"/>
    </row>
    <row r="48" ht="31.5" customHeight="1">
      <c r="A48" s="42" t="s">
        <v>226</v>
      </c>
      <c r="B48" s="43" t="s">
        <v>227</v>
      </c>
      <c r="C48" s="44"/>
      <c r="D48" s="44"/>
      <c r="E48" s="44"/>
      <c r="F48" s="45"/>
    </row>
    <row r="49" ht="31.5" customHeight="1">
      <c r="A49" s="46" t="s">
        <v>228</v>
      </c>
      <c r="B49" s="47" t="s">
        <v>229</v>
      </c>
      <c r="C49" s="44"/>
      <c r="D49" s="44"/>
      <c r="E49" s="44"/>
      <c r="F49" s="45"/>
    </row>
    <row r="50" ht="31.5" customHeight="1">
      <c r="A50" s="42" t="s">
        <v>230</v>
      </c>
      <c r="B50" s="43" t="s">
        <v>231</v>
      </c>
      <c r="C50" s="44"/>
      <c r="D50" s="44"/>
      <c r="E50" s="44"/>
      <c r="F50" s="45"/>
    </row>
    <row r="51" ht="31.5" customHeight="1">
      <c r="A51" s="46" t="s">
        <v>232</v>
      </c>
      <c r="B51" s="47" t="s">
        <v>233</v>
      </c>
      <c r="C51" s="44"/>
      <c r="D51" s="44"/>
      <c r="E51" s="44"/>
      <c r="F51" s="45"/>
    </row>
    <row r="52" ht="31.5" customHeight="1">
      <c r="A52" s="42" t="s">
        <v>234</v>
      </c>
      <c r="B52" s="43" t="s">
        <v>235</v>
      </c>
      <c r="C52" s="44"/>
      <c r="D52" s="44"/>
      <c r="E52" s="44"/>
      <c r="F52" s="45"/>
    </row>
    <row r="53" ht="15.75" customHeight="1"/>
    <row r="54" ht="15.75" customHeight="1">
      <c r="A54" s="48" t="s">
        <v>236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48:F48"/>
    <mergeCell ref="B49:F49"/>
    <mergeCell ref="B50:F50"/>
    <mergeCell ref="B51:F51"/>
    <mergeCell ref="B52:F52"/>
    <mergeCell ref="A54:F54"/>
    <mergeCell ref="A1:F1"/>
    <mergeCell ref="A2:F2"/>
    <mergeCell ref="A4:F4"/>
    <mergeCell ref="A12:F12"/>
    <mergeCell ref="A20:F20"/>
    <mergeCell ref="A30:F30"/>
    <mergeCell ref="A47:F47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2026-04-22T18:26:10Z</dcterms:created>
  <dc:creator>openpyxl</dc:creator>
</cp:coreProperties>
</file>